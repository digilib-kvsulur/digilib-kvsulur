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nis\Desktop\"/>
    </mc:Choice>
  </mc:AlternateContent>
  <bookViews>
    <workbookView xWindow="0" yWindow="0" windowWidth="24000" windowHeight="9735" activeTab="1"/>
  </bookViews>
  <sheets>
    <sheet name="SFF" sheetId="1" r:id="rId1"/>
    <sheet name="VV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63" i="2" l="1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F4" i="2"/>
  <c r="D434" i="2"/>
  <c r="G324" i="2"/>
  <c r="H324" i="2" s="1"/>
  <c r="G325" i="2"/>
  <c r="H325" i="2" s="1"/>
  <c r="G326" i="2"/>
  <c r="H326" i="2" s="1"/>
  <c r="G327" i="2"/>
  <c r="H327" i="2" s="1"/>
  <c r="G328" i="2"/>
  <c r="H328" i="2" s="1"/>
  <c r="G329" i="2"/>
  <c r="H329" i="2" s="1"/>
  <c r="G330" i="2"/>
  <c r="H330" i="2" s="1"/>
  <c r="G331" i="2"/>
  <c r="H331" i="2" s="1"/>
  <c r="G332" i="2"/>
  <c r="H332" i="2" s="1"/>
  <c r="G333" i="2"/>
  <c r="H333" i="2" s="1"/>
  <c r="G334" i="2"/>
  <c r="H334" i="2" s="1"/>
  <c r="G335" i="2"/>
  <c r="H335" i="2" s="1"/>
  <c r="G336" i="2"/>
  <c r="H336" i="2" s="1"/>
  <c r="G337" i="2"/>
  <c r="H337" i="2" s="1"/>
  <c r="G338" i="2"/>
  <c r="H338" i="2" s="1"/>
  <c r="G339" i="2"/>
  <c r="H339" i="2" s="1"/>
  <c r="G340" i="2"/>
  <c r="H340" i="2" s="1"/>
  <c r="G341" i="2"/>
  <c r="H341" i="2" s="1"/>
  <c r="G342" i="2"/>
  <c r="H342" i="2" s="1"/>
  <c r="G343" i="2"/>
  <c r="H343" i="2" s="1"/>
  <c r="G344" i="2"/>
  <c r="H344" i="2" s="1"/>
  <c r="G345" i="2"/>
  <c r="H345" i="2" s="1"/>
  <c r="G346" i="2"/>
  <c r="H346" i="2" s="1"/>
  <c r="G347" i="2"/>
  <c r="H347" i="2" s="1"/>
  <c r="G348" i="2"/>
  <c r="H348" i="2" s="1"/>
  <c r="G349" i="2"/>
  <c r="H349" i="2" s="1"/>
  <c r="G350" i="2"/>
  <c r="H350" i="2" s="1"/>
  <c r="G351" i="2"/>
  <c r="H351" i="2" s="1"/>
  <c r="G352" i="2"/>
  <c r="H352" i="2" s="1"/>
  <c r="G353" i="2"/>
  <c r="H353" i="2" s="1"/>
  <c r="G354" i="2"/>
  <c r="H354" i="2" s="1"/>
  <c r="G355" i="2"/>
  <c r="H355" i="2" s="1"/>
  <c r="G356" i="2"/>
  <c r="H356" i="2" s="1"/>
  <c r="G357" i="2"/>
  <c r="H357" i="2" s="1"/>
  <c r="G358" i="2"/>
  <c r="H358" i="2" s="1"/>
  <c r="G359" i="2"/>
  <c r="H359" i="2" s="1"/>
  <c r="G360" i="2"/>
  <c r="H360" i="2" s="1"/>
  <c r="G361" i="2"/>
  <c r="H361" i="2" s="1"/>
  <c r="G362" i="2"/>
  <c r="H362" i="2" s="1"/>
  <c r="G363" i="2"/>
  <c r="H363" i="2" s="1"/>
  <c r="G364" i="2"/>
  <c r="H364" i="2" s="1"/>
  <c r="G365" i="2"/>
  <c r="H365" i="2" s="1"/>
  <c r="G366" i="2"/>
  <c r="H366" i="2" s="1"/>
  <c r="G367" i="2"/>
  <c r="H367" i="2" s="1"/>
  <c r="G368" i="2"/>
  <c r="H368" i="2" s="1"/>
  <c r="G369" i="2"/>
  <c r="H369" i="2" s="1"/>
  <c r="G370" i="2"/>
  <c r="H370" i="2" s="1"/>
  <c r="G371" i="2"/>
  <c r="H371" i="2" s="1"/>
  <c r="G372" i="2"/>
  <c r="H372" i="2" s="1"/>
  <c r="G373" i="2"/>
  <c r="H373" i="2" s="1"/>
  <c r="G374" i="2"/>
  <c r="H374" i="2" s="1"/>
  <c r="G375" i="2"/>
  <c r="H375" i="2" s="1"/>
  <c r="G376" i="2"/>
  <c r="H376" i="2" s="1"/>
  <c r="G377" i="2"/>
  <c r="H377" i="2" s="1"/>
  <c r="G378" i="2"/>
  <c r="H378" i="2" s="1"/>
  <c r="G379" i="2"/>
  <c r="H379" i="2" s="1"/>
  <c r="G380" i="2"/>
  <c r="H380" i="2" s="1"/>
  <c r="G381" i="2"/>
  <c r="H381" i="2" s="1"/>
  <c r="G382" i="2"/>
  <c r="H382" i="2" s="1"/>
  <c r="G383" i="2"/>
  <c r="H383" i="2" s="1"/>
  <c r="G384" i="2"/>
  <c r="H384" i="2" s="1"/>
  <c r="G385" i="2"/>
  <c r="H385" i="2" s="1"/>
  <c r="G386" i="2"/>
  <c r="H386" i="2" s="1"/>
  <c r="G387" i="2"/>
  <c r="H387" i="2" s="1"/>
  <c r="G388" i="2"/>
  <c r="H388" i="2" s="1"/>
  <c r="G389" i="2"/>
  <c r="H389" i="2" s="1"/>
  <c r="G390" i="2"/>
  <c r="H390" i="2" s="1"/>
  <c r="G391" i="2"/>
  <c r="H391" i="2" s="1"/>
  <c r="G392" i="2"/>
  <c r="H392" i="2" s="1"/>
  <c r="G393" i="2"/>
  <c r="H393" i="2" s="1"/>
  <c r="G394" i="2"/>
  <c r="H394" i="2" s="1"/>
  <c r="G395" i="2"/>
  <c r="H395" i="2" s="1"/>
  <c r="G396" i="2"/>
  <c r="H396" i="2" s="1"/>
  <c r="G397" i="2"/>
  <c r="H397" i="2" s="1"/>
  <c r="G398" i="2"/>
  <c r="H398" i="2" s="1"/>
  <c r="G399" i="2"/>
  <c r="G400" i="2"/>
  <c r="G401" i="2"/>
  <c r="G402" i="2"/>
  <c r="G403" i="2"/>
  <c r="G404" i="2"/>
  <c r="G405" i="2"/>
  <c r="G406" i="2"/>
  <c r="G407" i="2"/>
  <c r="G408" i="2"/>
  <c r="G409" i="2"/>
  <c r="H409" i="2" s="1"/>
  <c r="G410" i="2"/>
  <c r="H410" i="2" s="1"/>
  <c r="G411" i="2"/>
  <c r="H411" i="2" s="1"/>
  <c r="G412" i="2"/>
  <c r="G413" i="2"/>
  <c r="H413" i="2" s="1"/>
  <c r="G414" i="2"/>
  <c r="H414" i="2" s="1"/>
  <c r="G415" i="2"/>
  <c r="H415" i="2" s="1"/>
  <c r="G416" i="2"/>
  <c r="G417" i="2"/>
  <c r="H417" i="2"/>
  <c r="G418" i="2"/>
  <c r="H418" i="2" s="1"/>
  <c r="G419" i="2"/>
  <c r="H419" i="2" s="1"/>
  <c r="G420" i="2"/>
  <c r="G421" i="2"/>
  <c r="H421" i="2" s="1"/>
  <c r="G422" i="2"/>
  <c r="H422" i="2" s="1"/>
  <c r="G423" i="2"/>
  <c r="H423" i="2" s="1"/>
  <c r="G424" i="2"/>
  <c r="G425" i="2"/>
  <c r="H425" i="2" s="1"/>
  <c r="G426" i="2"/>
  <c r="H426" i="2"/>
  <c r="G427" i="2"/>
  <c r="H427" i="2" s="1"/>
  <c r="G428" i="2"/>
  <c r="G429" i="2"/>
  <c r="H429" i="2" s="1"/>
  <c r="G430" i="2"/>
  <c r="H430" i="2" s="1"/>
  <c r="G431" i="2"/>
  <c r="H431" i="2" s="1"/>
  <c r="G432" i="2"/>
  <c r="H432" i="2" s="1"/>
  <c r="G433" i="2"/>
  <c r="H433" i="2"/>
  <c r="G323" i="2"/>
  <c r="H323" i="2" s="1"/>
  <c r="G322" i="2"/>
  <c r="G321" i="2"/>
  <c r="H321" i="2" s="1"/>
  <c r="G320" i="2"/>
  <c r="G319" i="2"/>
  <c r="H319" i="2" s="1"/>
  <c r="G318" i="2"/>
  <c r="G317" i="2"/>
  <c r="H317" i="2" s="1"/>
  <c r="G316" i="2"/>
  <c r="G315" i="2"/>
  <c r="H315" i="2" s="1"/>
  <c r="G314" i="2"/>
  <c r="G313" i="2"/>
  <c r="H313" i="2" s="1"/>
  <c r="G312" i="2"/>
  <c r="G311" i="2"/>
  <c r="H311" i="2" s="1"/>
  <c r="G310" i="2"/>
  <c r="G309" i="2"/>
  <c r="H309" i="2" s="1"/>
  <c r="G308" i="2"/>
  <c r="G307" i="2"/>
  <c r="H307" i="2" s="1"/>
  <c r="G306" i="2"/>
  <c r="G305" i="2"/>
  <c r="H305" i="2" s="1"/>
  <c r="G304" i="2"/>
  <c r="G303" i="2"/>
  <c r="H303" i="2" s="1"/>
  <c r="G302" i="2"/>
  <c r="G301" i="2"/>
  <c r="H301" i="2" s="1"/>
  <c r="G300" i="2"/>
  <c r="G299" i="2"/>
  <c r="H299" i="2" s="1"/>
  <c r="G298" i="2"/>
  <c r="G297" i="2"/>
  <c r="H297" i="2" s="1"/>
  <c r="G296" i="2"/>
  <c r="G295" i="2"/>
  <c r="H295" i="2" s="1"/>
  <c r="G294" i="2"/>
  <c r="G293" i="2"/>
  <c r="H293" i="2" s="1"/>
  <c r="G292" i="2"/>
  <c r="G291" i="2"/>
  <c r="H291" i="2" s="1"/>
  <c r="G290" i="2"/>
  <c r="G289" i="2"/>
  <c r="H289" i="2" s="1"/>
  <c r="G288" i="2"/>
  <c r="G287" i="2"/>
  <c r="H287" i="2" s="1"/>
  <c r="G286" i="2"/>
  <c r="G285" i="2"/>
  <c r="H285" i="2" s="1"/>
  <c r="G284" i="2"/>
  <c r="G283" i="2"/>
  <c r="H283" i="2" s="1"/>
  <c r="G282" i="2"/>
  <c r="G281" i="2"/>
  <c r="H281" i="2" s="1"/>
  <c r="G280" i="2"/>
  <c r="G279" i="2"/>
  <c r="H279" i="2" s="1"/>
  <c r="G278" i="2"/>
  <c r="G277" i="2"/>
  <c r="H277" i="2" s="1"/>
  <c r="G276" i="2"/>
  <c r="G275" i="2"/>
  <c r="H275" i="2" s="1"/>
  <c r="G274" i="2"/>
  <c r="G273" i="2"/>
  <c r="H273" i="2" s="1"/>
  <c r="G272" i="2"/>
  <c r="G271" i="2"/>
  <c r="H271" i="2" s="1"/>
  <c r="G270" i="2"/>
  <c r="G269" i="2"/>
  <c r="H269" i="2" s="1"/>
  <c r="G268" i="2"/>
  <c r="G267" i="2"/>
  <c r="H267" i="2" s="1"/>
  <c r="G266" i="2"/>
  <c r="G265" i="2"/>
  <c r="H265" i="2" s="1"/>
  <c r="G264" i="2"/>
  <c r="G263" i="2"/>
  <c r="H263" i="2" s="1"/>
  <c r="G262" i="2"/>
  <c r="G261" i="2"/>
  <c r="H261" i="2" s="1"/>
  <c r="G260" i="2"/>
  <c r="G259" i="2"/>
  <c r="H259" i="2" s="1"/>
  <c r="G258" i="2"/>
  <c r="G257" i="2"/>
  <c r="H257" i="2" s="1"/>
  <c r="G256" i="2"/>
  <c r="G255" i="2"/>
  <c r="H255" i="2" s="1"/>
  <c r="G254" i="2"/>
  <c r="G253" i="2"/>
  <c r="H253" i="2" s="1"/>
  <c r="G252" i="2"/>
  <c r="G251" i="2"/>
  <c r="H251" i="2" s="1"/>
  <c r="G250" i="2"/>
  <c r="G249" i="2"/>
  <c r="H249" i="2" s="1"/>
  <c r="G248" i="2"/>
  <c r="G247" i="2"/>
  <c r="H247" i="2" s="1"/>
  <c r="G246" i="2"/>
  <c r="G245" i="2"/>
  <c r="H245" i="2" s="1"/>
  <c r="G244" i="2"/>
  <c r="G243" i="2"/>
  <c r="H243" i="2" s="1"/>
  <c r="G242" i="2"/>
  <c r="G241" i="2"/>
  <c r="H241" i="2" s="1"/>
  <c r="G240" i="2"/>
  <c r="G239" i="2"/>
  <c r="H239" i="2" s="1"/>
  <c r="G238" i="2"/>
  <c r="H238" i="2" s="1"/>
  <c r="I238" i="2" s="1"/>
  <c r="G237" i="2"/>
  <c r="H237" i="2" s="1"/>
  <c r="I237" i="2" s="1"/>
  <c r="G236" i="2"/>
  <c r="H236" i="2" s="1"/>
  <c r="I236" i="2" s="1"/>
  <c r="G235" i="2"/>
  <c r="H235" i="2" s="1"/>
  <c r="I235" i="2" s="1"/>
  <c r="G234" i="2"/>
  <c r="H234" i="2" s="1"/>
  <c r="I234" i="2" s="1"/>
  <c r="G233" i="2"/>
  <c r="H233" i="2" s="1"/>
  <c r="I233" i="2" s="1"/>
  <c r="G232" i="2"/>
  <c r="H232" i="2" s="1"/>
  <c r="I232" i="2" s="1"/>
  <c r="G231" i="2"/>
  <c r="H231" i="2" s="1"/>
  <c r="I231" i="2" s="1"/>
  <c r="G230" i="2"/>
  <c r="H230" i="2" s="1"/>
  <c r="I230" i="2" s="1"/>
  <c r="G229" i="2"/>
  <c r="H229" i="2" s="1"/>
  <c r="I229" i="2" s="1"/>
  <c r="G228" i="2"/>
  <c r="H228" i="2" s="1"/>
  <c r="I228" i="2" s="1"/>
  <c r="G227" i="2"/>
  <c r="H227" i="2" s="1"/>
  <c r="I227" i="2" s="1"/>
  <c r="G226" i="2"/>
  <c r="H226" i="2" s="1"/>
  <c r="I226" i="2" s="1"/>
  <c r="G225" i="2"/>
  <c r="H225" i="2" s="1"/>
  <c r="I225" i="2" s="1"/>
  <c r="G224" i="2"/>
  <c r="H224" i="2" s="1"/>
  <c r="I224" i="2" s="1"/>
  <c r="G223" i="2"/>
  <c r="H223" i="2" s="1"/>
  <c r="I223" i="2" s="1"/>
  <c r="G222" i="2"/>
  <c r="H222" i="2" s="1"/>
  <c r="I222" i="2" s="1"/>
  <c r="G221" i="2"/>
  <c r="H221" i="2" s="1"/>
  <c r="I221" i="2" s="1"/>
  <c r="G220" i="2"/>
  <c r="H220" i="2" s="1"/>
  <c r="I220" i="2" s="1"/>
  <c r="G219" i="2"/>
  <c r="H219" i="2" s="1"/>
  <c r="I219" i="2" s="1"/>
  <c r="G218" i="2"/>
  <c r="H218" i="2" s="1"/>
  <c r="I218" i="2" s="1"/>
  <c r="G217" i="2"/>
  <c r="H217" i="2" s="1"/>
  <c r="I217" i="2" s="1"/>
  <c r="G216" i="2"/>
  <c r="H216" i="2" s="1"/>
  <c r="I216" i="2" s="1"/>
  <c r="G215" i="2"/>
  <c r="H215" i="2" s="1"/>
  <c r="I215" i="2" s="1"/>
  <c r="G214" i="2"/>
  <c r="H214" i="2" s="1"/>
  <c r="I214" i="2" s="1"/>
  <c r="G213" i="2"/>
  <c r="H213" i="2" s="1"/>
  <c r="I213" i="2" s="1"/>
  <c r="G212" i="2"/>
  <c r="H212" i="2" s="1"/>
  <c r="I212" i="2" s="1"/>
  <c r="G211" i="2"/>
  <c r="H211" i="2" s="1"/>
  <c r="I211" i="2" s="1"/>
  <c r="G210" i="2"/>
  <c r="H210" i="2" s="1"/>
  <c r="I210" i="2" s="1"/>
  <c r="G209" i="2"/>
  <c r="H209" i="2" s="1"/>
  <c r="I209" i="2" s="1"/>
  <c r="G208" i="2"/>
  <c r="H208" i="2" s="1"/>
  <c r="I208" i="2" s="1"/>
  <c r="G207" i="2"/>
  <c r="H207" i="2" s="1"/>
  <c r="I207" i="2" s="1"/>
  <c r="G206" i="2"/>
  <c r="H206" i="2" s="1"/>
  <c r="I206" i="2" s="1"/>
  <c r="G205" i="2"/>
  <c r="H205" i="2" s="1"/>
  <c r="I205" i="2" s="1"/>
  <c r="G204" i="2"/>
  <c r="H204" i="2" s="1"/>
  <c r="I204" i="2" s="1"/>
  <c r="G203" i="2"/>
  <c r="H203" i="2" s="1"/>
  <c r="I203" i="2" s="1"/>
  <c r="G202" i="2"/>
  <c r="H202" i="2" s="1"/>
  <c r="I202" i="2" s="1"/>
  <c r="G201" i="2"/>
  <c r="H201" i="2" s="1"/>
  <c r="I201" i="2" s="1"/>
  <c r="G200" i="2"/>
  <c r="H200" i="2" s="1"/>
  <c r="I200" i="2" s="1"/>
  <c r="G199" i="2"/>
  <c r="H199" i="2" s="1"/>
  <c r="I199" i="2" s="1"/>
  <c r="G198" i="2"/>
  <c r="H198" i="2" s="1"/>
  <c r="I198" i="2" s="1"/>
  <c r="G197" i="2"/>
  <c r="H197" i="2" s="1"/>
  <c r="I197" i="2" s="1"/>
  <c r="G196" i="2"/>
  <c r="H196" i="2" s="1"/>
  <c r="I196" i="2" s="1"/>
  <c r="G195" i="2"/>
  <c r="G194" i="2"/>
  <c r="G193" i="2"/>
  <c r="G192" i="2"/>
  <c r="G191" i="2"/>
  <c r="H191" i="2" s="1"/>
  <c r="I191" i="2" s="1"/>
  <c r="G190" i="2"/>
  <c r="H190" i="2" s="1"/>
  <c r="G189" i="2"/>
  <c r="H189" i="2" s="1"/>
  <c r="I189" i="2" s="1"/>
  <c r="G188" i="2"/>
  <c r="H188" i="2" s="1"/>
  <c r="G187" i="2"/>
  <c r="H187" i="2" s="1"/>
  <c r="I187" i="2" s="1"/>
  <c r="G186" i="2"/>
  <c r="H186" i="2" s="1"/>
  <c r="G185" i="2"/>
  <c r="H185" i="2" s="1"/>
  <c r="I185" i="2" s="1"/>
  <c r="G184" i="2"/>
  <c r="H184" i="2" s="1"/>
  <c r="G183" i="2"/>
  <c r="H183" i="2" s="1"/>
  <c r="I183" i="2" s="1"/>
  <c r="G182" i="2"/>
  <c r="H182" i="2" s="1"/>
  <c r="G181" i="2"/>
  <c r="H181" i="2" s="1"/>
  <c r="I181" i="2" s="1"/>
  <c r="G180" i="2"/>
  <c r="H180" i="2" s="1"/>
  <c r="I180" i="2" s="1"/>
  <c r="G179" i="2"/>
  <c r="H179" i="2" s="1"/>
  <c r="I179" i="2" s="1"/>
  <c r="G178" i="2"/>
  <c r="H178" i="2" s="1"/>
  <c r="G177" i="2"/>
  <c r="H177" i="2" s="1"/>
  <c r="I177" i="2" s="1"/>
  <c r="G176" i="2"/>
  <c r="H176" i="2" s="1"/>
  <c r="G175" i="2"/>
  <c r="H175" i="2" s="1"/>
  <c r="I175" i="2" s="1"/>
  <c r="G174" i="2"/>
  <c r="H174" i="2" s="1"/>
  <c r="G173" i="2"/>
  <c r="H173" i="2" s="1"/>
  <c r="I173" i="2" s="1"/>
  <c r="G172" i="2"/>
  <c r="H172" i="2" s="1"/>
  <c r="G171" i="2"/>
  <c r="H171" i="2" s="1"/>
  <c r="I171" i="2" s="1"/>
  <c r="G170" i="2"/>
  <c r="H170" i="2" s="1"/>
  <c r="G169" i="2"/>
  <c r="H169" i="2" s="1"/>
  <c r="I169" i="2" s="1"/>
  <c r="G168" i="2"/>
  <c r="H168" i="2" s="1"/>
  <c r="G167" i="2"/>
  <c r="H167" i="2" s="1"/>
  <c r="I167" i="2" s="1"/>
  <c r="G166" i="2"/>
  <c r="H166" i="2" s="1"/>
  <c r="G165" i="2"/>
  <c r="H165" i="2" s="1"/>
  <c r="I165" i="2" s="1"/>
  <c r="G164" i="2"/>
  <c r="H164" i="2" s="1"/>
  <c r="G163" i="2"/>
  <c r="H163" i="2" s="1"/>
  <c r="I163" i="2" s="1"/>
  <c r="G162" i="2"/>
  <c r="H162" i="2" s="1"/>
  <c r="G161" i="2"/>
  <c r="H161" i="2" s="1"/>
  <c r="I161" i="2" s="1"/>
  <c r="G160" i="2"/>
  <c r="H160" i="2" s="1"/>
  <c r="G159" i="2"/>
  <c r="H159" i="2" s="1"/>
  <c r="I159" i="2" s="1"/>
  <c r="G158" i="2"/>
  <c r="H158" i="2" s="1"/>
  <c r="G157" i="2"/>
  <c r="H157" i="2" s="1"/>
  <c r="I157" i="2" s="1"/>
  <c r="G156" i="2"/>
  <c r="H156" i="2" s="1"/>
  <c r="I156" i="2" s="1"/>
  <c r="G155" i="2"/>
  <c r="H155" i="2" s="1"/>
  <c r="I155" i="2" s="1"/>
  <c r="G154" i="2"/>
  <c r="H154" i="2" s="1"/>
  <c r="G153" i="2"/>
  <c r="H153" i="2" s="1"/>
  <c r="I153" i="2" s="1"/>
  <c r="G152" i="2"/>
  <c r="H152" i="2" s="1"/>
  <c r="G151" i="2"/>
  <c r="H151" i="2" s="1"/>
  <c r="I151" i="2" s="1"/>
  <c r="G150" i="2"/>
  <c r="H150" i="2" s="1"/>
  <c r="G149" i="2"/>
  <c r="H149" i="2" s="1"/>
  <c r="I149" i="2" s="1"/>
  <c r="G148" i="2"/>
  <c r="H148" i="2" s="1"/>
  <c r="G147" i="2"/>
  <c r="H147" i="2" s="1"/>
  <c r="I147" i="2" s="1"/>
  <c r="G146" i="2"/>
  <c r="H146" i="2" s="1"/>
  <c r="G145" i="2"/>
  <c r="H145" i="2" s="1"/>
  <c r="I145" i="2" s="1"/>
  <c r="G144" i="2"/>
  <c r="H144" i="2" s="1"/>
  <c r="G143" i="2"/>
  <c r="H143" i="2" s="1"/>
  <c r="I143" i="2" s="1"/>
  <c r="G142" i="2"/>
  <c r="H142" i="2" s="1"/>
  <c r="G141" i="2"/>
  <c r="H141" i="2" s="1"/>
  <c r="I141" i="2" s="1"/>
  <c r="G140" i="2"/>
  <c r="H140" i="2" s="1"/>
  <c r="G139" i="2"/>
  <c r="H139" i="2" s="1"/>
  <c r="I139" i="2" s="1"/>
  <c r="G138" i="2"/>
  <c r="H138" i="2" s="1"/>
  <c r="G137" i="2"/>
  <c r="H137" i="2" s="1"/>
  <c r="I137" i="2" s="1"/>
  <c r="G136" i="2"/>
  <c r="H136" i="2" s="1"/>
  <c r="G135" i="2"/>
  <c r="H135" i="2" s="1"/>
  <c r="I135" i="2" s="1"/>
  <c r="G134" i="2"/>
  <c r="H134" i="2" s="1"/>
  <c r="G133" i="2"/>
  <c r="H133" i="2" s="1"/>
  <c r="I133" i="2" s="1"/>
  <c r="G132" i="2"/>
  <c r="H132" i="2" s="1"/>
  <c r="G131" i="2"/>
  <c r="H131" i="2" s="1"/>
  <c r="I131" i="2" s="1"/>
  <c r="G130" i="2"/>
  <c r="H130" i="2" s="1"/>
  <c r="G129" i="2"/>
  <c r="H129" i="2" s="1"/>
  <c r="I129" i="2" s="1"/>
  <c r="G128" i="2"/>
  <c r="H128" i="2" s="1"/>
  <c r="G127" i="2"/>
  <c r="H127" i="2" s="1"/>
  <c r="I127" i="2" s="1"/>
  <c r="G126" i="2"/>
  <c r="H126" i="2" s="1"/>
  <c r="G125" i="2"/>
  <c r="H125" i="2" s="1"/>
  <c r="I125" i="2" s="1"/>
  <c r="G124" i="2"/>
  <c r="H124" i="2" s="1"/>
  <c r="G123" i="2"/>
  <c r="H123" i="2" s="1"/>
  <c r="G122" i="2"/>
  <c r="H122" i="2" s="1"/>
  <c r="G121" i="2"/>
  <c r="H121" i="2" s="1"/>
  <c r="I121" i="2" s="1"/>
  <c r="G120" i="2"/>
  <c r="H120" i="2" s="1"/>
  <c r="I120" i="2" s="1"/>
  <c r="G119" i="2"/>
  <c r="H119" i="2" s="1"/>
  <c r="I119" i="2" s="1"/>
  <c r="G118" i="2"/>
  <c r="H118" i="2" s="1"/>
  <c r="I118" i="2" s="1"/>
  <c r="G117" i="2"/>
  <c r="H117" i="2" s="1"/>
  <c r="I117" i="2" s="1"/>
  <c r="G116" i="2"/>
  <c r="H116" i="2" s="1"/>
  <c r="I116" i="2" s="1"/>
  <c r="G115" i="2"/>
  <c r="H115" i="2" s="1"/>
  <c r="I115" i="2" s="1"/>
  <c r="G114" i="2"/>
  <c r="H114" i="2" s="1"/>
  <c r="I114" i="2" s="1"/>
  <c r="G113" i="2"/>
  <c r="H113" i="2" s="1"/>
  <c r="I113" i="2" s="1"/>
  <c r="G112" i="2"/>
  <c r="H112" i="2" s="1"/>
  <c r="I112" i="2" s="1"/>
  <c r="G111" i="2"/>
  <c r="H111" i="2" s="1"/>
  <c r="I111" i="2" s="1"/>
  <c r="G110" i="2"/>
  <c r="H110" i="2" s="1"/>
  <c r="I110" i="2" s="1"/>
  <c r="G109" i="2"/>
  <c r="H109" i="2" s="1"/>
  <c r="I109" i="2" s="1"/>
  <c r="G108" i="2"/>
  <c r="H108" i="2" s="1"/>
  <c r="I108" i="2" s="1"/>
  <c r="G107" i="2"/>
  <c r="H107" i="2" s="1"/>
  <c r="I107" i="2" s="1"/>
  <c r="G106" i="2"/>
  <c r="H106" i="2" s="1"/>
  <c r="I106" i="2" s="1"/>
  <c r="G105" i="2"/>
  <c r="H105" i="2" s="1"/>
  <c r="I105" i="2" s="1"/>
  <c r="G104" i="2"/>
  <c r="H104" i="2" s="1"/>
  <c r="I104" i="2" s="1"/>
  <c r="G103" i="2"/>
  <c r="H103" i="2" s="1"/>
  <c r="I103" i="2" s="1"/>
  <c r="G102" i="2"/>
  <c r="H102" i="2" s="1"/>
  <c r="I102" i="2" s="1"/>
  <c r="G101" i="2"/>
  <c r="H101" i="2" s="1"/>
  <c r="I101" i="2" s="1"/>
  <c r="G100" i="2"/>
  <c r="H100" i="2" s="1"/>
  <c r="I100" i="2" s="1"/>
  <c r="G99" i="2"/>
  <c r="H99" i="2" s="1"/>
  <c r="I99" i="2" s="1"/>
  <c r="G98" i="2"/>
  <c r="H98" i="2" s="1"/>
  <c r="I98" i="2" s="1"/>
  <c r="G97" i="2"/>
  <c r="H97" i="2" s="1"/>
  <c r="I97" i="2" s="1"/>
  <c r="G96" i="2"/>
  <c r="G95" i="2"/>
  <c r="H95" i="2" s="1"/>
  <c r="G94" i="2"/>
  <c r="G93" i="2"/>
  <c r="H93" i="2" s="1"/>
  <c r="G92" i="2"/>
  <c r="G91" i="2"/>
  <c r="H91" i="2" s="1"/>
  <c r="G90" i="2"/>
  <c r="G89" i="2"/>
  <c r="H89" i="2" s="1"/>
  <c r="G88" i="2"/>
  <c r="G87" i="2"/>
  <c r="H87" i="2" s="1"/>
  <c r="G86" i="2"/>
  <c r="G85" i="2"/>
  <c r="H85" i="2" s="1"/>
  <c r="G84" i="2"/>
  <c r="G83" i="2"/>
  <c r="H83" i="2" s="1"/>
  <c r="G82" i="2"/>
  <c r="G81" i="2"/>
  <c r="H81" i="2" s="1"/>
  <c r="G80" i="2"/>
  <c r="G79" i="2"/>
  <c r="H79" i="2" s="1"/>
  <c r="G78" i="2"/>
  <c r="G77" i="2"/>
  <c r="H77" i="2" s="1"/>
  <c r="G76" i="2"/>
  <c r="H75" i="2"/>
  <c r="G75" i="2"/>
  <c r="G74" i="2"/>
  <c r="G73" i="2"/>
  <c r="H73" i="2" s="1"/>
  <c r="G72" i="2"/>
  <c r="G71" i="2"/>
  <c r="H71" i="2" s="1"/>
  <c r="G70" i="2"/>
  <c r="G69" i="2"/>
  <c r="H69" i="2" s="1"/>
  <c r="G68" i="2"/>
  <c r="G67" i="2"/>
  <c r="H67" i="2" s="1"/>
  <c r="G66" i="2"/>
  <c r="G65" i="2"/>
  <c r="H65" i="2" s="1"/>
  <c r="G64" i="2"/>
  <c r="G63" i="2"/>
  <c r="H63" i="2" s="1"/>
  <c r="G62" i="2"/>
  <c r="G61" i="2"/>
  <c r="H61" i="2" s="1"/>
  <c r="G60" i="2"/>
  <c r="G59" i="2"/>
  <c r="H59" i="2" s="1"/>
  <c r="G58" i="2"/>
  <c r="G57" i="2"/>
  <c r="H57" i="2" s="1"/>
  <c r="G56" i="2"/>
  <c r="H56" i="2" s="1"/>
  <c r="G55" i="2"/>
  <c r="H55" i="2" s="1"/>
  <c r="G54" i="2"/>
  <c r="G53" i="2"/>
  <c r="H53" i="2" s="1"/>
  <c r="I53" i="2" s="1"/>
  <c r="G52" i="2"/>
  <c r="H52" i="2" s="1"/>
  <c r="I52" i="2" s="1"/>
  <c r="G51" i="2"/>
  <c r="H51" i="2" s="1"/>
  <c r="I51" i="2" s="1"/>
  <c r="G50" i="2"/>
  <c r="H50" i="2" s="1"/>
  <c r="I50" i="2" s="1"/>
  <c r="G49" i="2"/>
  <c r="H49" i="2" s="1"/>
  <c r="I49" i="2" s="1"/>
  <c r="G48" i="2"/>
  <c r="H48" i="2" s="1"/>
  <c r="I48" i="2" s="1"/>
  <c r="G47" i="2"/>
  <c r="H47" i="2" s="1"/>
  <c r="I47" i="2" s="1"/>
  <c r="G46" i="2"/>
  <c r="H46" i="2" s="1"/>
  <c r="I46" i="2" s="1"/>
  <c r="G45" i="2"/>
  <c r="H45" i="2" s="1"/>
  <c r="I45" i="2" s="1"/>
  <c r="G44" i="2"/>
  <c r="H44" i="2" s="1"/>
  <c r="I44" i="2" s="1"/>
  <c r="G43" i="2"/>
  <c r="H43" i="2" s="1"/>
  <c r="I43" i="2" s="1"/>
  <c r="G42" i="2"/>
  <c r="H42" i="2" s="1"/>
  <c r="I42" i="2" s="1"/>
  <c r="G41" i="2"/>
  <c r="H41" i="2" s="1"/>
  <c r="G40" i="2"/>
  <c r="H40" i="2" s="1"/>
  <c r="G39" i="2"/>
  <c r="H39" i="2" s="1"/>
  <c r="G38" i="2"/>
  <c r="G37" i="2"/>
  <c r="H37" i="2" s="1"/>
  <c r="G36" i="2"/>
  <c r="H36" i="2" s="1"/>
  <c r="G35" i="2"/>
  <c r="H35" i="2" s="1"/>
  <c r="I35" i="2" s="1"/>
  <c r="G34" i="2"/>
  <c r="H34" i="2" s="1"/>
  <c r="I34" i="2" s="1"/>
  <c r="G33" i="2"/>
  <c r="H33" i="2" s="1"/>
  <c r="I33" i="2" s="1"/>
  <c r="G32" i="2"/>
  <c r="H32" i="2" s="1"/>
  <c r="I32" i="2" s="1"/>
  <c r="G31" i="2"/>
  <c r="H31" i="2" s="1"/>
  <c r="I31" i="2" s="1"/>
  <c r="G30" i="2"/>
  <c r="H30" i="2" s="1"/>
  <c r="I30" i="2" s="1"/>
  <c r="G29" i="2"/>
  <c r="H29" i="2" s="1"/>
  <c r="I29" i="2" s="1"/>
  <c r="G28" i="2"/>
  <c r="H28" i="2" s="1"/>
  <c r="I28" i="2" s="1"/>
  <c r="G27" i="2"/>
  <c r="H27" i="2" s="1"/>
  <c r="I27" i="2" s="1"/>
  <c r="G26" i="2"/>
  <c r="H26" i="2" s="1"/>
  <c r="I26" i="2" s="1"/>
  <c r="G25" i="2"/>
  <c r="H25" i="2" s="1"/>
  <c r="I25" i="2" s="1"/>
  <c r="G24" i="2"/>
  <c r="H24" i="2" s="1"/>
  <c r="I24" i="2" s="1"/>
  <c r="G23" i="2"/>
  <c r="H23" i="2" s="1"/>
  <c r="I23" i="2" s="1"/>
  <c r="G22" i="2"/>
  <c r="H22" i="2" s="1"/>
  <c r="I22" i="2" s="1"/>
  <c r="G21" i="2"/>
  <c r="H21" i="2" s="1"/>
  <c r="I21" i="2" s="1"/>
  <c r="G20" i="2"/>
  <c r="H20" i="2" s="1"/>
  <c r="I20" i="2" s="1"/>
  <c r="G19" i="2"/>
  <c r="H19" i="2" s="1"/>
  <c r="I19" i="2" s="1"/>
  <c r="G18" i="2"/>
  <c r="H18" i="2" s="1"/>
  <c r="I18" i="2" s="1"/>
  <c r="G17" i="2"/>
  <c r="H17" i="2" s="1"/>
  <c r="I17" i="2" s="1"/>
  <c r="G16" i="2"/>
  <c r="H16" i="2" s="1"/>
  <c r="I16" i="2" s="1"/>
  <c r="G15" i="2"/>
  <c r="H15" i="2" s="1"/>
  <c r="I15" i="2" s="1"/>
  <c r="G14" i="2"/>
  <c r="H14" i="2" s="1"/>
  <c r="I14" i="2" s="1"/>
  <c r="G13" i="2"/>
  <c r="H13" i="2" s="1"/>
  <c r="I13" i="2" s="1"/>
  <c r="G12" i="2"/>
  <c r="H12" i="2" s="1"/>
  <c r="I12" i="2" s="1"/>
  <c r="G11" i="2"/>
  <c r="H11" i="2" s="1"/>
  <c r="I11" i="2" s="1"/>
  <c r="G10" i="2"/>
  <c r="H10" i="2" s="1"/>
  <c r="I10" i="2" s="1"/>
  <c r="G9" i="2"/>
  <c r="H9" i="2" s="1"/>
  <c r="I9" i="2" s="1"/>
  <c r="G8" i="2"/>
  <c r="H8" i="2" s="1"/>
  <c r="I8" i="2" s="1"/>
  <c r="G7" i="2"/>
  <c r="H7" i="2" s="1"/>
  <c r="I7" i="2" s="1"/>
  <c r="G6" i="2"/>
  <c r="H6" i="2" s="1"/>
  <c r="I6" i="2" s="1"/>
  <c r="G5" i="2"/>
  <c r="H5" i="2" s="1"/>
  <c r="I5" i="2" s="1"/>
  <c r="J4" i="2"/>
  <c r="G4" i="2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A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86" i="1"/>
  <c r="J485" i="1"/>
  <c r="G485" i="1"/>
  <c r="D485" i="1"/>
  <c r="F485" i="1" s="1"/>
  <c r="J484" i="1"/>
  <c r="I484" i="1"/>
  <c r="H484" i="1"/>
  <c r="J483" i="1"/>
  <c r="H483" i="1"/>
  <c r="I483" i="1" s="1"/>
  <c r="J482" i="1"/>
  <c r="H482" i="1"/>
  <c r="I482" i="1" s="1"/>
  <c r="J481" i="1"/>
  <c r="H481" i="1"/>
  <c r="I481" i="1" s="1"/>
  <c r="J480" i="1"/>
  <c r="I480" i="1"/>
  <c r="H480" i="1"/>
  <c r="J479" i="1"/>
  <c r="H479" i="1"/>
  <c r="I479" i="1" s="1"/>
  <c r="J478" i="1"/>
  <c r="H478" i="1"/>
  <c r="I478" i="1" s="1"/>
  <c r="J477" i="1"/>
  <c r="H477" i="1"/>
  <c r="I477" i="1" s="1"/>
  <c r="J476" i="1"/>
  <c r="I476" i="1"/>
  <c r="H476" i="1"/>
  <c r="J475" i="1"/>
  <c r="H475" i="1"/>
  <c r="I475" i="1" s="1"/>
  <c r="J474" i="1"/>
  <c r="H474" i="1"/>
  <c r="I474" i="1" s="1"/>
  <c r="J473" i="1"/>
  <c r="H473" i="1"/>
  <c r="I473" i="1" s="1"/>
  <c r="J472" i="1"/>
  <c r="I472" i="1"/>
  <c r="H472" i="1"/>
  <c r="J471" i="1"/>
  <c r="H471" i="1"/>
  <c r="I471" i="1" s="1"/>
  <c r="J470" i="1"/>
  <c r="H470" i="1"/>
  <c r="I470" i="1" s="1"/>
  <c r="J469" i="1"/>
  <c r="H469" i="1"/>
  <c r="I469" i="1" s="1"/>
  <c r="J468" i="1"/>
  <c r="I468" i="1"/>
  <c r="H468" i="1"/>
  <c r="J467" i="1"/>
  <c r="H467" i="1"/>
  <c r="I467" i="1" s="1"/>
  <c r="J466" i="1"/>
  <c r="H466" i="1"/>
  <c r="I466" i="1" s="1"/>
  <c r="J465" i="1"/>
  <c r="H465" i="1"/>
  <c r="I465" i="1" s="1"/>
  <c r="J464" i="1"/>
  <c r="I464" i="1"/>
  <c r="H464" i="1"/>
  <c r="J463" i="1"/>
  <c r="H463" i="1"/>
  <c r="I463" i="1" s="1"/>
  <c r="J462" i="1"/>
  <c r="H462" i="1"/>
  <c r="I462" i="1" s="1"/>
  <c r="J461" i="1"/>
  <c r="H461" i="1"/>
  <c r="I461" i="1" s="1"/>
  <c r="J460" i="1"/>
  <c r="I460" i="1"/>
  <c r="H460" i="1"/>
  <c r="J459" i="1"/>
  <c r="H459" i="1"/>
  <c r="I459" i="1" s="1"/>
  <c r="J458" i="1"/>
  <c r="H458" i="1"/>
  <c r="I458" i="1" s="1"/>
  <c r="J457" i="1"/>
  <c r="H457" i="1"/>
  <c r="I457" i="1" s="1"/>
  <c r="J456" i="1"/>
  <c r="I456" i="1"/>
  <c r="H456" i="1"/>
  <c r="J455" i="1"/>
  <c r="H455" i="1"/>
  <c r="I455" i="1" s="1"/>
  <c r="J454" i="1"/>
  <c r="H454" i="1"/>
  <c r="I454" i="1" s="1"/>
  <c r="J453" i="1"/>
  <c r="H453" i="1"/>
  <c r="I453" i="1" s="1"/>
  <c r="J452" i="1"/>
  <c r="I452" i="1"/>
  <c r="H452" i="1"/>
  <c r="J451" i="1"/>
  <c r="H451" i="1"/>
  <c r="I451" i="1" s="1"/>
  <c r="J450" i="1"/>
  <c r="H450" i="1"/>
  <c r="I450" i="1" s="1"/>
  <c r="J449" i="1"/>
  <c r="H449" i="1"/>
  <c r="I449" i="1" s="1"/>
  <c r="J448" i="1"/>
  <c r="I448" i="1"/>
  <c r="H448" i="1"/>
  <c r="J447" i="1"/>
  <c r="H447" i="1"/>
  <c r="I447" i="1" s="1"/>
  <c r="J446" i="1"/>
  <c r="H446" i="1"/>
  <c r="I446" i="1" s="1"/>
  <c r="J445" i="1"/>
  <c r="H445" i="1"/>
  <c r="I445" i="1" s="1"/>
  <c r="J444" i="1"/>
  <c r="I444" i="1"/>
  <c r="H444" i="1"/>
  <c r="J443" i="1"/>
  <c r="H443" i="1"/>
  <c r="I443" i="1" s="1"/>
  <c r="J442" i="1"/>
  <c r="H442" i="1"/>
  <c r="I442" i="1" s="1"/>
  <c r="J441" i="1"/>
  <c r="H441" i="1"/>
  <c r="I441" i="1" s="1"/>
  <c r="J440" i="1"/>
  <c r="I440" i="1"/>
  <c r="H440" i="1"/>
  <c r="J439" i="1"/>
  <c r="H439" i="1"/>
  <c r="I439" i="1" s="1"/>
  <c r="J438" i="1"/>
  <c r="H438" i="1"/>
  <c r="I438" i="1" s="1"/>
  <c r="J437" i="1"/>
  <c r="H437" i="1"/>
  <c r="I437" i="1" s="1"/>
  <c r="J436" i="1"/>
  <c r="I436" i="1"/>
  <c r="H436" i="1"/>
  <c r="J435" i="1"/>
  <c r="H435" i="1"/>
  <c r="I435" i="1" s="1"/>
  <c r="J434" i="1"/>
  <c r="H434" i="1"/>
  <c r="I434" i="1" s="1"/>
  <c r="J433" i="1"/>
  <c r="H433" i="1"/>
  <c r="I433" i="1" s="1"/>
  <c r="J432" i="1"/>
  <c r="I432" i="1"/>
  <c r="H432" i="1"/>
  <c r="J431" i="1"/>
  <c r="H431" i="1"/>
  <c r="I431" i="1" s="1"/>
  <c r="J430" i="1"/>
  <c r="H430" i="1"/>
  <c r="I430" i="1" s="1"/>
  <c r="J429" i="1"/>
  <c r="H429" i="1"/>
  <c r="I429" i="1" s="1"/>
  <c r="J428" i="1"/>
  <c r="I428" i="1"/>
  <c r="H428" i="1"/>
  <c r="J427" i="1"/>
  <c r="H427" i="1"/>
  <c r="I427" i="1" s="1"/>
  <c r="J426" i="1"/>
  <c r="H426" i="1"/>
  <c r="I426" i="1" s="1"/>
  <c r="J425" i="1"/>
  <c r="H425" i="1"/>
  <c r="I425" i="1" s="1"/>
  <c r="J424" i="1"/>
  <c r="I424" i="1"/>
  <c r="H424" i="1"/>
  <c r="J423" i="1"/>
  <c r="H423" i="1"/>
  <c r="I423" i="1" s="1"/>
  <c r="J422" i="1"/>
  <c r="H422" i="1"/>
  <c r="I422" i="1" s="1"/>
  <c r="J421" i="1"/>
  <c r="H421" i="1"/>
  <c r="I421" i="1" s="1"/>
  <c r="J420" i="1"/>
  <c r="I420" i="1"/>
  <c r="H420" i="1"/>
  <c r="J419" i="1"/>
  <c r="H419" i="1"/>
  <c r="I419" i="1" s="1"/>
  <c r="J418" i="1"/>
  <c r="H418" i="1"/>
  <c r="I418" i="1" s="1"/>
  <c r="J417" i="1"/>
  <c r="H417" i="1"/>
  <c r="I417" i="1" s="1"/>
  <c r="J416" i="1"/>
  <c r="I416" i="1"/>
  <c r="H416" i="1"/>
  <c r="J415" i="1"/>
  <c r="H415" i="1"/>
  <c r="I415" i="1" s="1"/>
  <c r="J414" i="1"/>
  <c r="H414" i="1"/>
  <c r="I414" i="1" s="1"/>
  <c r="J413" i="1"/>
  <c r="H413" i="1"/>
  <c r="I413" i="1" s="1"/>
  <c r="J412" i="1"/>
  <c r="I412" i="1"/>
  <c r="H412" i="1"/>
  <c r="J411" i="1"/>
  <c r="H411" i="1"/>
  <c r="I411" i="1" s="1"/>
  <c r="J410" i="1"/>
  <c r="H410" i="1"/>
  <c r="I410" i="1" s="1"/>
  <c r="J409" i="1"/>
  <c r="H409" i="1"/>
  <c r="I409" i="1" s="1"/>
  <c r="J408" i="1"/>
  <c r="I408" i="1"/>
  <c r="H408" i="1"/>
  <c r="J407" i="1"/>
  <c r="H407" i="1"/>
  <c r="I407" i="1" s="1"/>
  <c r="J406" i="1"/>
  <c r="H406" i="1"/>
  <c r="I406" i="1" s="1"/>
  <c r="J405" i="1"/>
  <c r="H405" i="1"/>
  <c r="I405" i="1" s="1"/>
  <c r="J404" i="1"/>
  <c r="I404" i="1"/>
  <c r="H404" i="1"/>
  <c r="J403" i="1"/>
  <c r="H403" i="1"/>
  <c r="I403" i="1" s="1"/>
  <c r="J402" i="1"/>
  <c r="H402" i="1"/>
  <c r="I402" i="1" s="1"/>
  <c r="J401" i="1"/>
  <c r="H401" i="1"/>
  <c r="I401" i="1" s="1"/>
  <c r="J400" i="1"/>
  <c r="I400" i="1"/>
  <c r="H400" i="1"/>
  <c r="J399" i="1"/>
  <c r="H399" i="1"/>
  <c r="I399" i="1" s="1"/>
  <c r="J398" i="1"/>
  <c r="H398" i="1"/>
  <c r="I398" i="1" s="1"/>
  <c r="J397" i="1"/>
  <c r="H397" i="1"/>
  <c r="I397" i="1" s="1"/>
  <c r="J396" i="1"/>
  <c r="I396" i="1"/>
  <c r="H396" i="1"/>
  <c r="J395" i="1"/>
  <c r="H395" i="1"/>
  <c r="I395" i="1" s="1"/>
  <c r="J394" i="1"/>
  <c r="H394" i="1"/>
  <c r="I394" i="1" s="1"/>
  <c r="J393" i="1"/>
  <c r="H393" i="1"/>
  <c r="I393" i="1" s="1"/>
  <c r="J392" i="1"/>
  <c r="I392" i="1"/>
  <c r="H392" i="1"/>
  <c r="J391" i="1"/>
  <c r="H391" i="1"/>
  <c r="I391" i="1" s="1"/>
  <c r="J390" i="1"/>
  <c r="H390" i="1"/>
  <c r="I390" i="1" s="1"/>
  <c r="J389" i="1"/>
  <c r="H389" i="1"/>
  <c r="I389" i="1" s="1"/>
  <c r="J388" i="1"/>
  <c r="I388" i="1"/>
  <c r="H388" i="1"/>
  <c r="J387" i="1"/>
  <c r="H387" i="1"/>
  <c r="I387" i="1" s="1"/>
  <c r="J386" i="1"/>
  <c r="H386" i="1"/>
  <c r="I386" i="1" s="1"/>
  <c r="J385" i="1"/>
  <c r="H385" i="1"/>
  <c r="I385" i="1" s="1"/>
  <c r="J384" i="1"/>
  <c r="I384" i="1"/>
  <c r="H384" i="1"/>
  <c r="J383" i="1"/>
  <c r="H383" i="1"/>
  <c r="I383" i="1" s="1"/>
  <c r="J382" i="1"/>
  <c r="H382" i="1"/>
  <c r="I382" i="1" s="1"/>
  <c r="J381" i="1"/>
  <c r="H381" i="1"/>
  <c r="I381" i="1" s="1"/>
  <c r="J380" i="1"/>
  <c r="I380" i="1"/>
  <c r="H380" i="1"/>
  <c r="J379" i="1"/>
  <c r="H379" i="1"/>
  <c r="I379" i="1" s="1"/>
  <c r="J378" i="1"/>
  <c r="H378" i="1"/>
  <c r="I378" i="1" s="1"/>
  <c r="J377" i="1"/>
  <c r="H377" i="1"/>
  <c r="I377" i="1" s="1"/>
  <c r="J376" i="1"/>
  <c r="I376" i="1"/>
  <c r="H376" i="1"/>
  <c r="J375" i="1"/>
  <c r="H375" i="1"/>
  <c r="I375" i="1" s="1"/>
  <c r="J374" i="1"/>
  <c r="H374" i="1"/>
  <c r="I374" i="1" s="1"/>
  <c r="J373" i="1"/>
  <c r="H373" i="1"/>
  <c r="I373" i="1" s="1"/>
  <c r="J372" i="1"/>
  <c r="I372" i="1"/>
  <c r="H372" i="1"/>
  <c r="J371" i="1"/>
  <c r="H371" i="1"/>
  <c r="I371" i="1" s="1"/>
  <c r="J370" i="1"/>
  <c r="H370" i="1"/>
  <c r="I370" i="1" s="1"/>
  <c r="J369" i="1"/>
  <c r="H369" i="1"/>
  <c r="I369" i="1" s="1"/>
  <c r="J368" i="1"/>
  <c r="I368" i="1"/>
  <c r="H368" i="1"/>
  <c r="J367" i="1"/>
  <c r="H367" i="1"/>
  <c r="I367" i="1" s="1"/>
  <c r="J366" i="1"/>
  <c r="H366" i="1"/>
  <c r="I366" i="1" s="1"/>
  <c r="J365" i="1"/>
  <c r="H365" i="1"/>
  <c r="I365" i="1" s="1"/>
  <c r="J364" i="1"/>
  <c r="I364" i="1"/>
  <c r="H364" i="1"/>
  <c r="J363" i="1"/>
  <c r="H363" i="1"/>
  <c r="I363" i="1" s="1"/>
  <c r="J362" i="1"/>
  <c r="H362" i="1"/>
  <c r="I362" i="1" s="1"/>
  <c r="J361" i="1"/>
  <c r="H361" i="1"/>
  <c r="I361" i="1" s="1"/>
  <c r="J360" i="1"/>
  <c r="I360" i="1"/>
  <c r="H360" i="1"/>
  <c r="J359" i="1"/>
  <c r="H359" i="1"/>
  <c r="I359" i="1" s="1"/>
  <c r="J358" i="1"/>
  <c r="H358" i="1"/>
  <c r="I358" i="1" s="1"/>
  <c r="J357" i="1"/>
  <c r="H357" i="1"/>
  <c r="I357" i="1" s="1"/>
  <c r="J356" i="1"/>
  <c r="I356" i="1"/>
  <c r="H356" i="1"/>
  <c r="J355" i="1"/>
  <c r="H355" i="1"/>
  <c r="I355" i="1" s="1"/>
  <c r="J354" i="1"/>
  <c r="H354" i="1"/>
  <c r="I354" i="1" s="1"/>
  <c r="J353" i="1"/>
  <c r="H353" i="1"/>
  <c r="I353" i="1" s="1"/>
  <c r="J352" i="1"/>
  <c r="I352" i="1"/>
  <c r="H352" i="1"/>
  <c r="J351" i="1"/>
  <c r="H351" i="1"/>
  <c r="I351" i="1" s="1"/>
  <c r="J350" i="1"/>
  <c r="H350" i="1"/>
  <c r="I350" i="1" s="1"/>
  <c r="J349" i="1"/>
  <c r="H349" i="1"/>
  <c r="I349" i="1" s="1"/>
  <c r="J348" i="1"/>
  <c r="I348" i="1"/>
  <c r="H348" i="1"/>
  <c r="J347" i="1"/>
  <c r="H347" i="1"/>
  <c r="I347" i="1" s="1"/>
  <c r="J346" i="1"/>
  <c r="H346" i="1"/>
  <c r="I346" i="1" s="1"/>
  <c r="J345" i="1"/>
  <c r="H345" i="1"/>
  <c r="I345" i="1" s="1"/>
  <c r="J344" i="1"/>
  <c r="I344" i="1"/>
  <c r="H344" i="1"/>
  <c r="J343" i="1"/>
  <c r="H343" i="1"/>
  <c r="I343" i="1" s="1"/>
  <c r="J342" i="1"/>
  <c r="H342" i="1"/>
  <c r="I342" i="1" s="1"/>
  <c r="J341" i="1"/>
  <c r="H341" i="1"/>
  <c r="I341" i="1" s="1"/>
  <c r="J340" i="1"/>
  <c r="I340" i="1"/>
  <c r="H340" i="1"/>
  <c r="J339" i="1"/>
  <c r="H339" i="1"/>
  <c r="I339" i="1" s="1"/>
  <c r="J338" i="1"/>
  <c r="H338" i="1"/>
  <c r="I338" i="1" s="1"/>
  <c r="J337" i="1"/>
  <c r="H337" i="1"/>
  <c r="I337" i="1" s="1"/>
  <c r="J336" i="1"/>
  <c r="I336" i="1"/>
  <c r="H336" i="1"/>
  <c r="J335" i="1"/>
  <c r="H335" i="1"/>
  <c r="I335" i="1" s="1"/>
  <c r="J334" i="1"/>
  <c r="H334" i="1"/>
  <c r="I334" i="1" s="1"/>
  <c r="J333" i="1"/>
  <c r="H333" i="1"/>
  <c r="I333" i="1" s="1"/>
  <c r="J332" i="1"/>
  <c r="I332" i="1"/>
  <c r="H332" i="1"/>
  <c r="J331" i="1"/>
  <c r="H331" i="1"/>
  <c r="I331" i="1" s="1"/>
  <c r="J330" i="1"/>
  <c r="H330" i="1"/>
  <c r="I330" i="1" s="1"/>
  <c r="J329" i="1"/>
  <c r="H329" i="1"/>
  <c r="I329" i="1" s="1"/>
  <c r="J328" i="1"/>
  <c r="I328" i="1"/>
  <c r="H328" i="1"/>
  <c r="J327" i="1"/>
  <c r="H327" i="1"/>
  <c r="I327" i="1" s="1"/>
  <c r="J326" i="1"/>
  <c r="H326" i="1"/>
  <c r="I326" i="1" s="1"/>
  <c r="J325" i="1"/>
  <c r="H325" i="1"/>
  <c r="I325" i="1" s="1"/>
  <c r="J324" i="1"/>
  <c r="I324" i="1"/>
  <c r="H324" i="1"/>
  <c r="J323" i="1"/>
  <c r="H323" i="1"/>
  <c r="I323" i="1" s="1"/>
  <c r="J322" i="1"/>
  <c r="H322" i="1"/>
  <c r="I322" i="1" s="1"/>
  <c r="J321" i="1"/>
  <c r="H321" i="1"/>
  <c r="I321" i="1" s="1"/>
  <c r="J320" i="1"/>
  <c r="I320" i="1"/>
  <c r="H320" i="1"/>
  <c r="J319" i="1"/>
  <c r="H319" i="1"/>
  <c r="I319" i="1" s="1"/>
  <c r="J318" i="1"/>
  <c r="H318" i="1"/>
  <c r="I318" i="1" s="1"/>
  <c r="J317" i="1"/>
  <c r="H317" i="1"/>
  <c r="I317" i="1" s="1"/>
  <c r="J316" i="1"/>
  <c r="I316" i="1"/>
  <c r="H316" i="1"/>
  <c r="J315" i="1"/>
  <c r="H315" i="1"/>
  <c r="I315" i="1" s="1"/>
  <c r="J314" i="1"/>
  <c r="H314" i="1"/>
  <c r="I314" i="1" s="1"/>
  <c r="J313" i="1"/>
  <c r="H313" i="1"/>
  <c r="I313" i="1" s="1"/>
  <c r="J312" i="1"/>
  <c r="I312" i="1"/>
  <c r="H312" i="1"/>
  <c r="J311" i="1"/>
  <c r="H311" i="1"/>
  <c r="I311" i="1" s="1"/>
  <c r="J310" i="1"/>
  <c r="H310" i="1"/>
  <c r="I310" i="1" s="1"/>
  <c r="J309" i="1"/>
  <c r="H309" i="1"/>
  <c r="I309" i="1" s="1"/>
  <c r="J308" i="1"/>
  <c r="I308" i="1"/>
  <c r="H308" i="1"/>
  <c r="J307" i="1"/>
  <c r="H307" i="1"/>
  <c r="I307" i="1" s="1"/>
  <c r="J306" i="1"/>
  <c r="H306" i="1"/>
  <c r="I306" i="1" s="1"/>
  <c r="J305" i="1"/>
  <c r="H305" i="1"/>
  <c r="I305" i="1" s="1"/>
  <c r="J304" i="1"/>
  <c r="I304" i="1"/>
  <c r="H304" i="1"/>
  <c r="J303" i="1"/>
  <c r="H303" i="1"/>
  <c r="I303" i="1" s="1"/>
  <c r="J302" i="1"/>
  <c r="H302" i="1"/>
  <c r="I302" i="1" s="1"/>
  <c r="J301" i="1"/>
  <c r="H301" i="1"/>
  <c r="I301" i="1" s="1"/>
  <c r="J300" i="1"/>
  <c r="I300" i="1"/>
  <c r="H300" i="1"/>
  <c r="J299" i="1"/>
  <c r="H299" i="1"/>
  <c r="I299" i="1" s="1"/>
  <c r="J298" i="1"/>
  <c r="H298" i="1"/>
  <c r="I298" i="1" s="1"/>
  <c r="J297" i="1"/>
  <c r="H297" i="1"/>
  <c r="I297" i="1" s="1"/>
  <c r="J296" i="1"/>
  <c r="I296" i="1"/>
  <c r="H296" i="1"/>
  <c r="J295" i="1"/>
  <c r="H295" i="1"/>
  <c r="I295" i="1" s="1"/>
  <c r="J294" i="1"/>
  <c r="H294" i="1"/>
  <c r="I294" i="1" s="1"/>
  <c r="J293" i="1"/>
  <c r="H293" i="1"/>
  <c r="I293" i="1" s="1"/>
  <c r="J292" i="1"/>
  <c r="I292" i="1"/>
  <c r="H292" i="1"/>
  <c r="J291" i="1"/>
  <c r="H291" i="1"/>
  <c r="I291" i="1" s="1"/>
  <c r="J290" i="1"/>
  <c r="H290" i="1"/>
  <c r="I290" i="1" s="1"/>
  <c r="J289" i="1"/>
  <c r="H289" i="1"/>
  <c r="I289" i="1" s="1"/>
  <c r="J288" i="1"/>
  <c r="I288" i="1"/>
  <c r="H288" i="1"/>
  <c r="J287" i="1"/>
  <c r="H287" i="1"/>
  <c r="I287" i="1" s="1"/>
  <c r="J286" i="1"/>
  <c r="H286" i="1"/>
  <c r="I286" i="1" s="1"/>
  <c r="J285" i="1"/>
  <c r="H285" i="1"/>
  <c r="I285" i="1" s="1"/>
  <c r="J284" i="1"/>
  <c r="I284" i="1"/>
  <c r="H284" i="1"/>
  <c r="J283" i="1"/>
  <c r="H283" i="1"/>
  <c r="I283" i="1" s="1"/>
  <c r="J282" i="1"/>
  <c r="H282" i="1"/>
  <c r="I282" i="1" s="1"/>
  <c r="J281" i="1"/>
  <c r="H281" i="1"/>
  <c r="I281" i="1" s="1"/>
  <c r="J280" i="1"/>
  <c r="I280" i="1"/>
  <c r="H280" i="1"/>
  <c r="J279" i="1"/>
  <c r="H279" i="1"/>
  <c r="I279" i="1" s="1"/>
  <c r="J278" i="1"/>
  <c r="H278" i="1"/>
  <c r="I278" i="1" s="1"/>
  <c r="J277" i="1"/>
  <c r="H277" i="1"/>
  <c r="I277" i="1" s="1"/>
  <c r="J276" i="1"/>
  <c r="I276" i="1"/>
  <c r="H276" i="1"/>
  <c r="J275" i="1"/>
  <c r="H275" i="1"/>
  <c r="I275" i="1" s="1"/>
  <c r="J274" i="1"/>
  <c r="H274" i="1"/>
  <c r="I274" i="1" s="1"/>
  <c r="J273" i="1"/>
  <c r="H273" i="1"/>
  <c r="I273" i="1" s="1"/>
  <c r="J272" i="1"/>
  <c r="I272" i="1"/>
  <c r="H272" i="1"/>
  <c r="J271" i="1"/>
  <c r="H271" i="1"/>
  <c r="I271" i="1" s="1"/>
  <c r="J270" i="1"/>
  <c r="H270" i="1"/>
  <c r="I270" i="1" s="1"/>
  <c r="J269" i="1"/>
  <c r="H269" i="1"/>
  <c r="I269" i="1" s="1"/>
  <c r="J268" i="1"/>
  <c r="I268" i="1"/>
  <c r="H268" i="1"/>
  <c r="J267" i="1"/>
  <c r="H267" i="1"/>
  <c r="I267" i="1" s="1"/>
  <c r="J266" i="1"/>
  <c r="H266" i="1"/>
  <c r="I266" i="1" s="1"/>
  <c r="J265" i="1"/>
  <c r="H265" i="1"/>
  <c r="I265" i="1" s="1"/>
  <c r="J264" i="1"/>
  <c r="I264" i="1"/>
  <c r="H264" i="1"/>
  <c r="J263" i="1"/>
  <c r="H263" i="1"/>
  <c r="I263" i="1" s="1"/>
  <c r="J262" i="1"/>
  <c r="H262" i="1"/>
  <c r="I262" i="1" s="1"/>
  <c r="J261" i="1"/>
  <c r="H261" i="1"/>
  <c r="I261" i="1" s="1"/>
  <c r="J260" i="1"/>
  <c r="I260" i="1"/>
  <c r="H260" i="1"/>
  <c r="J259" i="1"/>
  <c r="H259" i="1"/>
  <c r="I259" i="1" s="1"/>
  <c r="J258" i="1"/>
  <c r="H258" i="1"/>
  <c r="I258" i="1" s="1"/>
  <c r="J257" i="1"/>
  <c r="H257" i="1"/>
  <c r="I257" i="1" s="1"/>
  <c r="J256" i="1"/>
  <c r="I256" i="1"/>
  <c r="H256" i="1"/>
  <c r="J255" i="1"/>
  <c r="H255" i="1"/>
  <c r="I255" i="1" s="1"/>
  <c r="J254" i="1"/>
  <c r="H254" i="1"/>
  <c r="I254" i="1" s="1"/>
  <c r="J253" i="1"/>
  <c r="H253" i="1"/>
  <c r="I253" i="1" s="1"/>
  <c r="J252" i="1"/>
  <c r="I252" i="1"/>
  <c r="H252" i="1"/>
  <c r="J251" i="1"/>
  <c r="H251" i="1"/>
  <c r="I251" i="1" s="1"/>
  <c r="J250" i="1"/>
  <c r="H250" i="1"/>
  <c r="I250" i="1" s="1"/>
  <c r="J249" i="1"/>
  <c r="H249" i="1"/>
  <c r="I249" i="1" s="1"/>
  <c r="J248" i="1"/>
  <c r="I248" i="1"/>
  <c r="H248" i="1"/>
  <c r="J247" i="1"/>
  <c r="H247" i="1"/>
  <c r="I247" i="1" s="1"/>
  <c r="J246" i="1"/>
  <c r="H246" i="1"/>
  <c r="I246" i="1" s="1"/>
  <c r="J245" i="1"/>
  <c r="H245" i="1"/>
  <c r="I245" i="1" s="1"/>
  <c r="J244" i="1"/>
  <c r="I244" i="1"/>
  <c r="H244" i="1"/>
  <c r="J243" i="1"/>
  <c r="H243" i="1"/>
  <c r="I243" i="1" s="1"/>
  <c r="J242" i="1"/>
  <c r="H242" i="1"/>
  <c r="I242" i="1" s="1"/>
  <c r="J241" i="1"/>
  <c r="H241" i="1"/>
  <c r="I241" i="1" s="1"/>
  <c r="J240" i="1"/>
  <c r="I240" i="1"/>
  <c r="H240" i="1"/>
  <c r="J239" i="1"/>
  <c r="H239" i="1"/>
  <c r="I239" i="1" s="1"/>
  <c r="J238" i="1"/>
  <c r="H238" i="1"/>
  <c r="I238" i="1" s="1"/>
  <c r="J237" i="1"/>
  <c r="H237" i="1"/>
  <c r="I237" i="1" s="1"/>
  <c r="J236" i="1"/>
  <c r="I236" i="1"/>
  <c r="H236" i="1"/>
  <c r="J235" i="1"/>
  <c r="I235" i="1"/>
  <c r="H235" i="1"/>
  <c r="J234" i="1"/>
  <c r="H234" i="1"/>
  <c r="I234" i="1" s="1"/>
  <c r="J233" i="1"/>
  <c r="H233" i="1"/>
  <c r="I233" i="1" s="1"/>
  <c r="J232" i="1"/>
  <c r="I232" i="1"/>
  <c r="H232" i="1"/>
  <c r="J231" i="1"/>
  <c r="I231" i="1"/>
  <c r="H231" i="1"/>
  <c r="J230" i="1"/>
  <c r="H230" i="1"/>
  <c r="I230" i="1" s="1"/>
  <c r="J229" i="1"/>
  <c r="H229" i="1"/>
  <c r="I229" i="1" s="1"/>
  <c r="J228" i="1"/>
  <c r="I228" i="1"/>
  <c r="H228" i="1"/>
  <c r="J227" i="1"/>
  <c r="I227" i="1"/>
  <c r="H227" i="1"/>
  <c r="J226" i="1"/>
  <c r="H226" i="1"/>
  <c r="I226" i="1" s="1"/>
  <c r="J225" i="1"/>
  <c r="H225" i="1"/>
  <c r="I225" i="1" s="1"/>
  <c r="J224" i="1"/>
  <c r="I224" i="1"/>
  <c r="H224" i="1"/>
  <c r="J223" i="1"/>
  <c r="I223" i="1"/>
  <c r="H223" i="1"/>
  <c r="J222" i="1"/>
  <c r="H222" i="1"/>
  <c r="I222" i="1" s="1"/>
  <c r="J221" i="1"/>
  <c r="H221" i="1"/>
  <c r="I221" i="1" s="1"/>
  <c r="J220" i="1"/>
  <c r="I220" i="1"/>
  <c r="H220" i="1"/>
  <c r="J219" i="1"/>
  <c r="I219" i="1"/>
  <c r="H219" i="1"/>
  <c r="J218" i="1"/>
  <c r="H218" i="1"/>
  <c r="I218" i="1" s="1"/>
  <c r="J217" i="1"/>
  <c r="H217" i="1"/>
  <c r="I217" i="1" s="1"/>
  <c r="J216" i="1"/>
  <c r="I216" i="1"/>
  <c r="H216" i="1"/>
  <c r="J215" i="1"/>
  <c r="I215" i="1"/>
  <c r="H215" i="1"/>
  <c r="J214" i="1"/>
  <c r="H214" i="1"/>
  <c r="I214" i="1" s="1"/>
  <c r="J213" i="1"/>
  <c r="H213" i="1"/>
  <c r="I213" i="1" s="1"/>
  <c r="J212" i="1"/>
  <c r="I212" i="1"/>
  <c r="H212" i="1"/>
  <c r="J211" i="1"/>
  <c r="I211" i="1"/>
  <c r="H211" i="1"/>
  <c r="J210" i="1"/>
  <c r="H210" i="1"/>
  <c r="I210" i="1" s="1"/>
  <c r="J209" i="1"/>
  <c r="H209" i="1"/>
  <c r="I209" i="1" s="1"/>
  <c r="J208" i="1"/>
  <c r="I208" i="1"/>
  <c r="H208" i="1"/>
  <c r="J207" i="1"/>
  <c r="H207" i="1"/>
  <c r="I207" i="1" s="1"/>
  <c r="J206" i="1"/>
  <c r="I206" i="1"/>
  <c r="H206" i="1"/>
  <c r="J205" i="1"/>
  <c r="H205" i="1"/>
  <c r="I205" i="1" s="1"/>
  <c r="J204" i="1"/>
  <c r="I204" i="1"/>
  <c r="H204" i="1"/>
  <c r="J203" i="1"/>
  <c r="I203" i="1"/>
  <c r="H203" i="1"/>
  <c r="J202" i="1"/>
  <c r="H202" i="1"/>
  <c r="I202" i="1" s="1"/>
  <c r="J201" i="1"/>
  <c r="H201" i="1"/>
  <c r="I201" i="1" s="1"/>
  <c r="J200" i="1"/>
  <c r="I200" i="1"/>
  <c r="H200" i="1"/>
  <c r="J199" i="1"/>
  <c r="H199" i="1"/>
  <c r="I199" i="1" s="1"/>
  <c r="J198" i="1"/>
  <c r="I198" i="1"/>
  <c r="H198" i="1"/>
  <c r="J197" i="1"/>
  <c r="H197" i="1"/>
  <c r="I197" i="1" s="1"/>
  <c r="J196" i="1"/>
  <c r="I196" i="1"/>
  <c r="H196" i="1"/>
  <c r="J195" i="1"/>
  <c r="I195" i="1"/>
  <c r="H195" i="1"/>
  <c r="J194" i="1"/>
  <c r="H194" i="1"/>
  <c r="I194" i="1" s="1"/>
  <c r="J193" i="1"/>
  <c r="H193" i="1"/>
  <c r="I193" i="1" s="1"/>
  <c r="J192" i="1"/>
  <c r="I192" i="1"/>
  <c r="H192" i="1"/>
  <c r="J191" i="1"/>
  <c r="H191" i="1"/>
  <c r="I191" i="1" s="1"/>
  <c r="J190" i="1"/>
  <c r="I190" i="1"/>
  <c r="H190" i="1"/>
  <c r="J189" i="1"/>
  <c r="H189" i="1"/>
  <c r="I189" i="1" s="1"/>
  <c r="J188" i="1"/>
  <c r="I188" i="1"/>
  <c r="H188" i="1"/>
  <c r="J187" i="1"/>
  <c r="I187" i="1"/>
  <c r="H187" i="1"/>
  <c r="J186" i="1"/>
  <c r="H186" i="1"/>
  <c r="I186" i="1" s="1"/>
  <c r="J185" i="1"/>
  <c r="H185" i="1"/>
  <c r="I185" i="1" s="1"/>
  <c r="J184" i="1"/>
  <c r="I184" i="1"/>
  <c r="H184" i="1"/>
  <c r="J183" i="1"/>
  <c r="H183" i="1"/>
  <c r="I183" i="1" s="1"/>
  <c r="J182" i="1"/>
  <c r="I182" i="1"/>
  <c r="H182" i="1"/>
  <c r="J181" i="1"/>
  <c r="H181" i="1"/>
  <c r="I181" i="1" s="1"/>
  <c r="J180" i="1"/>
  <c r="I180" i="1"/>
  <c r="H180" i="1"/>
  <c r="J179" i="1"/>
  <c r="I179" i="1"/>
  <c r="H179" i="1"/>
  <c r="J178" i="1"/>
  <c r="H178" i="1"/>
  <c r="I178" i="1" s="1"/>
  <c r="J177" i="1"/>
  <c r="H177" i="1"/>
  <c r="I177" i="1" s="1"/>
  <c r="J176" i="1"/>
  <c r="I176" i="1"/>
  <c r="H176" i="1"/>
  <c r="J175" i="1"/>
  <c r="H175" i="1"/>
  <c r="I175" i="1" s="1"/>
  <c r="J174" i="1"/>
  <c r="I174" i="1"/>
  <c r="H174" i="1"/>
  <c r="J173" i="1"/>
  <c r="H173" i="1"/>
  <c r="I173" i="1" s="1"/>
  <c r="J172" i="1"/>
  <c r="I172" i="1"/>
  <c r="H172" i="1"/>
  <c r="J171" i="1"/>
  <c r="I171" i="1"/>
  <c r="H171" i="1"/>
  <c r="J170" i="1"/>
  <c r="H170" i="1"/>
  <c r="I170" i="1" s="1"/>
  <c r="J169" i="1"/>
  <c r="H169" i="1"/>
  <c r="I169" i="1" s="1"/>
  <c r="J168" i="1"/>
  <c r="I168" i="1"/>
  <c r="H168" i="1"/>
  <c r="J167" i="1"/>
  <c r="H167" i="1"/>
  <c r="I167" i="1" s="1"/>
  <c r="J166" i="1"/>
  <c r="I166" i="1"/>
  <c r="H166" i="1"/>
  <c r="J165" i="1"/>
  <c r="H165" i="1"/>
  <c r="I165" i="1" s="1"/>
  <c r="J164" i="1"/>
  <c r="I164" i="1"/>
  <c r="H164" i="1"/>
  <c r="J163" i="1"/>
  <c r="I163" i="1"/>
  <c r="H163" i="1"/>
  <c r="J162" i="1"/>
  <c r="H162" i="1"/>
  <c r="I162" i="1" s="1"/>
  <c r="J161" i="1"/>
  <c r="H161" i="1"/>
  <c r="I161" i="1" s="1"/>
  <c r="J160" i="1"/>
  <c r="I160" i="1"/>
  <c r="H160" i="1"/>
  <c r="J159" i="1"/>
  <c r="H159" i="1"/>
  <c r="I159" i="1" s="1"/>
  <c r="J158" i="1"/>
  <c r="I158" i="1"/>
  <c r="H158" i="1"/>
  <c r="J157" i="1"/>
  <c r="H157" i="1"/>
  <c r="I157" i="1" s="1"/>
  <c r="J156" i="1"/>
  <c r="I156" i="1"/>
  <c r="H156" i="1"/>
  <c r="J155" i="1"/>
  <c r="I155" i="1"/>
  <c r="H155" i="1"/>
  <c r="J154" i="1"/>
  <c r="H154" i="1"/>
  <c r="I154" i="1" s="1"/>
  <c r="J153" i="1"/>
  <c r="H153" i="1"/>
  <c r="I153" i="1" s="1"/>
  <c r="J152" i="1"/>
  <c r="I152" i="1"/>
  <c r="H152" i="1"/>
  <c r="J151" i="1"/>
  <c r="H151" i="1"/>
  <c r="I151" i="1" s="1"/>
  <c r="J150" i="1"/>
  <c r="I150" i="1"/>
  <c r="H150" i="1"/>
  <c r="J149" i="1"/>
  <c r="H149" i="1"/>
  <c r="I149" i="1" s="1"/>
  <c r="J148" i="1"/>
  <c r="H148" i="1"/>
  <c r="I148" i="1" s="1"/>
  <c r="J147" i="1"/>
  <c r="I147" i="1"/>
  <c r="H147" i="1"/>
  <c r="J146" i="1"/>
  <c r="H146" i="1"/>
  <c r="I146" i="1" s="1"/>
  <c r="J145" i="1"/>
  <c r="I145" i="1"/>
  <c r="H145" i="1"/>
  <c r="J144" i="1"/>
  <c r="H144" i="1"/>
  <c r="I144" i="1" s="1"/>
  <c r="J143" i="1"/>
  <c r="I143" i="1"/>
  <c r="H143" i="1"/>
  <c r="J142" i="1"/>
  <c r="H142" i="1"/>
  <c r="I142" i="1" s="1"/>
  <c r="J141" i="1"/>
  <c r="I141" i="1"/>
  <c r="H141" i="1"/>
  <c r="J140" i="1"/>
  <c r="H140" i="1"/>
  <c r="I140" i="1" s="1"/>
  <c r="J139" i="1"/>
  <c r="I139" i="1"/>
  <c r="H139" i="1"/>
  <c r="J138" i="1"/>
  <c r="H138" i="1"/>
  <c r="I138" i="1" s="1"/>
  <c r="J137" i="1"/>
  <c r="I137" i="1"/>
  <c r="H137" i="1"/>
  <c r="J136" i="1"/>
  <c r="H136" i="1"/>
  <c r="I136" i="1" s="1"/>
  <c r="J135" i="1"/>
  <c r="I135" i="1"/>
  <c r="H135" i="1"/>
  <c r="J134" i="1"/>
  <c r="H134" i="1"/>
  <c r="I134" i="1" s="1"/>
  <c r="J133" i="1"/>
  <c r="I133" i="1"/>
  <c r="H133" i="1"/>
  <c r="J132" i="1"/>
  <c r="H132" i="1"/>
  <c r="I132" i="1" s="1"/>
  <c r="J131" i="1"/>
  <c r="I131" i="1"/>
  <c r="H131" i="1"/>
  <c r="J130" i="1"/>
  <c r="H130" i="1"/>
  <c r="I130" i="1" s="1"/>
  <c r="J129" i="1"/>
  <c r="I129" i="1"/>
  <c r="H129" i="1"/>
  <c r="J128" i="1"/>
  <c r="H128" i="1"/>
  <c r="I128" i="1" s="1"/>
  <c r="J127" i="1"/>
  <c r="I127" i="1"/>
  <c r="H127" i="1"/>
  <c r="J126" i="1"/>
  <c r="H126" i="1"/>
  <c r="I126" i="1" s="1"/>
  <c r="J125" i="1"/>
  <c r="I125" i="1"/>
  <c r="H125" i="1"/>
  <c r="J124" i="1"/>
  <c r="H124" i="1"/>
  <c r="I124" i="1" s="1"/>
  <c r="J123" i="1"/>
  <c r="I123" i="1"/>
  <c r="H123" i="1"/>
  <c r="J122" i="1"/>
  <c r="H122" i="1"/>
  <c r="I122" i="1" s="1"/>
  <c r="J121" i="1"/>
  <c r="I121" i="1"/>
  <c r="H121" i="1"/>
  <c r="J120" i="1"/>
  <c r="H120" i="1"/>
  <c r="I120" i="1" s="1"/>
  <c r="J119" i="1"/>
  <c r="I119" i="1"/>
  <c r="H119" i="1"/>
  <c r="J118" i="1"/>
  <c r="H118" i="1"/>
  <c r="I118" i="1" s="1"/>
  <c r="J117" i="1"/>
  <c r="I117" i="1"/>
  <c r="H117" i="1"/>
  <c r="J116" i="1"/>
  <c r="H116" i="1"/>
  <c r="I116" i="1" s="1"/>
  <c r="J115" i="1"/>
  <c r="I115" i="1"/>
  <c r="H115" i="1"/>
  <c r="J114" i="1"/>
  <c r="H114" i="1"/>
  <c r="I114" i="1" s="1"/>
  <c r="J113" i="1"/>
  <c r="I113" i="1"/>
  <c r="H113" i="1"/>
  <c r="J112" i="1"/>
  <c r="H112" i="1"/>
  <c r="I112" i="1" s="1"/>
  <c r="J111" i="1"/>
  <c r="I111" i="1"/>
  <c r="H111" i="1"/>
  <c r="J110" i="1"/>
  <c r="H110" i="1"/>
  <c r="I110" i="1" s="1"/>
  <c r="J109" i="1"/>
  <c r="I109" i="1"/>
  <c r="H109" i="1"/>
  <c r="J108" i="1"/>
  <c r="H108" i="1"/>
  <c r="I108" i="1" s="1"/>
  <c r="J107" i="1"/>
  <c r="I107" i="1"/>
  <c r="H107" i="1"/>
  <c r="J106" i="1"/>
  <c r="H106" i="1"/>
  <c r="I106" i="1" s="1"/>
  <c r="J105" i="1"/>
  <c r="I105" i="1"/>
  <c r="H105" i="1"/>
  <c r="J104" i="1"/>
  <c r="H104" i="1"/>
  <c r="I104" i="1" s="1"/>
  <c r="J103" i="1"/>
  <c r="I103" i="1"/>
  <c r="H103" i="1"/>
  <c r="J102" i="1"/>
  <c r="H102" i="1"/>
  <c r="I102" i="1" s="1"/>
  <c r="J101" i="1"/>
  <c r="I101" i="1"/>
  <c r="H101" i="1"/>
  <c r="J100" i="1"/>
  <c r="H100" i="1"/>
  <c r="I100" i="1" s="1"/>
  <c r="J99" i="1"/>
  <c r="I99" i="1"/>
  <c r="H99" i="1"/>
  <c r="J98" i="1"/>
  <c r="H98" i="1"/>
  <c r="I98" i="1" s="1"/>
  <c r="J97" i="1"/>
  <c r="I97" i="1"/>
  <c r="H97" i="1"/>
  <c r="J96" i="1"/>
  <c r="H96" i="1"/>
  <c r="I96" i="1" s="1"/>
  <c r="J95" i="1"/>
  <c r="I95" i="1"/>
  <c r="H95" i="1"/>
  <c r="J94" i="1"/>
  <c r="H94" i="1"/>
  <c r="I94" i="1" s="1"/>
  <c r="J93" i="1"/>
  <c r="I93" i="1"/>
  <c r="H93" i="1"/>
  <c r="J92" i="1"/>
  <c r="H92" i="1"/>
  <c r="I92" i="1" s="1"/>
  <c r="J91" i="1"/>
  <c r="I91" i="1"/>
  <c r="H91" i="1"/>
  <c r="J90" i="1"/>
  <c r="H90" i="1"/>
  <c r="I90" i="1" s="1"/>
  <c r="J89" i="1"/>
  <c r="I89" i="1"/>
  <c r="H89" i="1"/>
  <c r="J88" i="1"/>
  <c r="H88" i="1"/>
  <c r="I88" i="1" s="1"/>
  <c r="J87" i="1"/>
  <c r="I87" i="1"/>
  <c r="H87" i="1"/>
  <c r="J86" i="1"/>
  <c r="H86" i="1"/>
  <c r="I86" i="1" s="1"/>
  <c r="J85" i="1"/>
  <c r="I85" i="1"/>
  <c r="H85" i="1"/>
  <c r="J84" i="1"/>
  <c r="H84" i="1"/>
  <c r="I84" i="1" s="1"/>
  <c r="J83" i="1"/>
  <c r="I83" i="1"/>
  <c r="H83" i="1"/>
  <c r="J82" i="1"/>
  <c r="H82" i="1"/>
  <c r="I82" i="1" s="1"/>
  <c r="J81" i="1"/>
  <c r="I81" i="1"/>
  <c r="H81" i="1"/>
  <c r="J80" i="1"/>
  <c r="H80" i="1"/>
  <c r="I80" i="1" s="1"/>
  <c r="J79" i="1"/>
  <c r="I79" i="1"/>
  <c r="H79" i="1"/>
  <c r="J78" i="1"/>
  <c r="H78" i="1"/>
  <c r="I78" i="1" s="1"/>
  <c r="J77" i="1"/>
  <c r="I77" i="1"/>
  <c r="H77" i="1"/>
  <c r="J76" i="1"/>
  <c r="H76" i="1"/>
  <c r="I76" i="1" s="1"/>
  <c r="J75" i="1"/>
  <c r="I75" i="1"/>
  <c r="H75" i="1"/>
  <c r="J74" i="1"/>
  <c r="H74" i="1"/>
  <c r="I74" i="1" s="1"/>
  <c r="J73" i="1"/>
  <c r="I73" i="1"/>
  <c r="H73" i="1"/>
  <c r="J72" i="1"/>
  <c r="H72" i="1"/>
  <c r="I72" i="1" s="1"/>
  <c r="J71" i="1"/>
  <c r="I71" i="1"/>
  <c r="H71" i="1"/>
  <c r="J70" i="1"/>
  <c r="H70" i="1"/>
  <c r="I70" i="1" s="1"/>
  <c r="J69" i="1"/>
  <c r="I69" i="1"/>
  <c r="H69" i="1"/>
  <c r="J68" i="1"/>
  <c r="H68" i="1"/>
  <c r="I68" i="1" s="1"/>
  <c r="J67" i="1"/>
  <c r="I67" i="1"/>
  <c r="H67" i="1"/>
  <c r="J66" i="1"/>
  <c r="H66" i="1"/>
  <c r="I66" i="1" s="1"/>
  <c r="J65" i="1"/>
  <c r="I65" i="1"/>
  <c r="H65" i="1"/>
  <c r="J64" i="1"/>
  <c r="H64" i="1"/>
  <c r="I64" i="1" s="1"/>
  <c r="J63" i="1"/>
  <c r="I63" i="1"/>
  <c r="H63" i="1"/>
  <c r="J62" i="1"/>
  <c r="H62" i="1"/>
  <c r="I62" i="1" s="1"/>
  <c r="J61" i="1"/>
  <c r="I61" i="1"/>
  <c r="H61" i="1"/>
  <c r="J60" i="1"/>
  <c r="H60" i="1"/>
  <c r="I60" i="1" s="1"/>
  <c r="J59" i="1"/>
  <c r="I59" i="1"/>
  <c r="H59" i="1"/>
  <c r="J58" i="1"/>
  <c r="H58" i="1"/>
  <c r="I58" i="1" s="1"/>
  <c r="J57" i="1"/>
  <c r="I57" i="1"/>
  <c r="H57" i="1"/>
  <c r="J56" i="1"/>
  <c r="H56" i="1"/>
  <c r="I56" i="1" s="1"/>
  <c r="J55" i="1"/>
  <c r="I55" i="1"/>
  <c r="H55" i="1"/>
  <c r="J54" i="1"/>
  <c r="H54" i="1"/>
  <c r="I54" i="1" s="1"/>
  <c r="J53" i="1"/>
  <c r="I53" i="1"/>
  <c r="H53" i="1"/>
  <c r="J52" i="1"/>
  <c r="H52" i="1"/>
  <c r="I52" i="1" s="1"/>
  <c r="J51" i="1"/>
  <c r="I51" i="1"/>
  <c r="H51" i="1"/>
  <c r="J50" i="1"/>
  <c r="H50" i="1"/>
  <c r="I50" i="1" s="1"/>
  <c r="J49" i="1"/>
  <c r="I49" i="1"/>
  <c r="H49" i="1"/>
  <c r="J48" i="1"/>
  <c r="H48" i="1"/>
  <c r="I48" i="1" s="1"/>
  <c r="J47" i="1"/>
  <c r="I47" i="1"/>
  <c r="H47" i="1"/>
  <c r="J46" i="1"/>
  <c r="H46" i="1"/>
  <c r="I46" i="1" s="1"/>
  <c r="J45" i="1"/>
  <c r="I45" i="1"/>
  <c r="H45" i="1"/>
  <c r="J44" i="1"/>
  <c r="H44" i="1"/>
  <c r="I44" i="1" s="1"/>
  <c r="J43" i="1"/>
  <c r="I43" i="1"/>
  <c r="H43" i="1"/>
  <c r="J42" i="1"/>
  <c r="H42" i="1"/>
  <c r="I42" i="1" s="1"/>
  <c r="J41" i="1"/>
  <c r="I41" i="1"/>
  <c r="H41" i="1"/>
  <c r="J40" i="1"/>
  <c r="H40" i="1"/>
  <c r="I40" i="1" s="1"/>
  <c r="J39" i="1"/>
  <c r="I39" i="1"/>
  <c r="H39" i="1"/>
  <c r="J38" i="1"/>
  <c r="H38" i="1"/>
  <c r="I38" i="1" s="1"/>
  <c r="J37" i="1"/>
  <c r="I37" i="1"/>
  <c r="H37" i="1"/>
  <c r="J36" i="1"/>
  <c r="H36" i="1"/>
  <c r="I36" i="1" s="1"/>
  <c r="J35" i="1"/>
  <c r="I35" i="1"/>
  <c r="H35" i="1"/>
  <c r="J34" i="1"/>
  <c r="H34" i="1"/>
  <c r="I34" i="1" s="1"/>
  <c r="J33" i="1"/>
  <c r="I33" i="1"/>
  <c r="H33" i="1"/>
  <c r="J32" i="1"/>
  <c r="H32" i="1"/>
  <c r="I32" i="1" s="1"/>
  <c r="J31" i="1"/>
  <c r="I31" i="1"/>
  <c r="H31" i="1"/>
  <c r="J30" i="1"/>
  <c r="H30" i="1"/>
  <c r="I30" i="1" s="1"/>
  <c r="J29" i="1"/>
  <c r="I29" i="1"/>
  <c r="H29" i="1"/>
  <c r="J28" i="1"/>
  <c r="H28" i="1"/>
  <c r="I28" i="1" s="1"/>
  <c r="J27" i="1"/>
  <c r="I27" i="1"/>
  <c r="H27" i="1"/>
  <c r="J26" i="1"/>
  <c r="H26" i="1"/>
  <c r="I26" i="1" s="1"/>
  <c r="J25" i="1"/>
  <c r="I25" i="1"/>
  <c r="H25" i="1"/>
  <c r="J24" i="1"/>
  <c r="H24" i="1"/>
  <c r="I24" i="1" s="1"/>
  <c r="J23" i="1"/>
  <c r="I23" i="1"/>
  <c r="H23" i="1"/>
  <c r="J22" i="1"/>
  <c r="H22" i="1"/>
  <c r="I22" i="1" s="1"/>
  <c r="J21" i="1"/>
  <c r="I21" i="1"/>
  <c r="H21" i="1"/>
  <c r="J20" i="1"/>
  <c r="H20" i="1"/>
  <c r="I20" i="1" s="1"/>
  <c r="J19" i="1"/>
  <c r="I19" i="1"/>
  <c r="H19" i="1"/>
  <c r="J18" i="1"/>
  <c r="H18" i="1"/>
  <c r="I18" i="1" s="1"/>
  <c r="J17" i="1"/>
  <c r="I17" i="1"/>
  <c r="H17" i="1"/>
  <c r="J16" i="1"/>
  <c r="H16" i="1"/>
  <c r="I16" i="1" s="1"/>
  <c r="J15" i="1"/>
  <c r="I15" i="1"/>
  <c r="H15" i="1"/>
  <c r="J14" i="1"/>
  <c r="H14" i="1"/>
  <c r="I14" i="1" s="1"/>
  <c r="J13" i="1"/>
  <c r="I13" i="1"/>
  <c r="H13" i="1"/>
  <c r="J12" i="1"/>
  <c r="H12" i="1"/>
  <c r="I12" i="1" s="1"/>
  <c r="J11" i="1"/>
  <c r="I11" i="1"/>
  <c r="H11" i="1"/>
  <c r="J10" i="1"/>
  <c r="H10" i="1"/>
  <c r="I10" i="1" s="1"/>
  <c r="J9" i="1"/>
  <c r="I9" i="1"/>
  <c r="H9" i="1"/>
  <c r="J8" i="1"/>
  <c r="H8" i="1"/>
  <c r="I8" i="1" s="1"/>
  <c r="J7" i="1"/>
  <c r="I7" i="1"/>
  <c r="H7" i="1"/>
  <c r="J6" i="1"/>
  <c r="H6" i="1"/>
  <c r="I6" i="1" s="1"/>
  <c r="J5" i="1"/>
  <c r="I5" i="1"/>
  <c r="H5" i="1"/>
  <c r="J4" i="1"/>
  <c r="H4" i="1"/>
  <c r="H485" i="1" s="1"/>
  <c r="F4" i="1"/>
  <c r="I188" i="2" l="1"/>
  <c r="H195" i="2"/>
  <c r="I195" i="2" s="1"/>
  <c r="I432" i="2"/>
  <c r="I429" i="2"/>
  <c r="I425" i="2"/>
  <c r="I421" i="2"/>
  <c r="I417" i="2"/>
  <c r="I413" i="2"/>
  <c r="I409" i="2"/>
  <c r="I164" i="2"/>
  <c r="I193" i="2"/>
  <c r="H194" i="2"/>
  <c r="I194" i="2" s="1"/>
  <c r="I433" i="2"/>
  <c r="I430" i="2"/>
  <c r="I426" i="2"/>
  <c r="I422" i="2"/>
  <c r="I418" i="2"/>
  <c r="I414" i="2"/>
  <c r="I410" i="2"/>
  <c r="G434" i="2"/>
  <c r="H193" i="2"/>
  <c r="I431" i="2"/>
  <c r="H428" i="2"/>
  <c r="I428" i="2" s="1"/>
  <c r="I427" i="2"/>
  <c r="H424" i="2"/>
  <c r="I424" i="2" s="1"/>
  <c r="I423" i="2"/>
  <c r="H420" i="2"/>
  <c r="I420" i="2" s="1"/>
  <c r="I419" i="2"/>
  <c r="H416" i="2"/>
  <c r="I416" i="2" s="1"/>
  <c r="I415" i="2"/>
  <c r="H412" i="2"/>
  <c r="I412" i="2" s="1"/>
  <c r="I411" i="2"/>
  <c r="H407" i="2"/>
  <c r="I407" i="2" s="1"/>
  <c r="H405" i="2"/>
  <c r="I405" i="2" s="1"/>
  <c r="H403" i="2"/>
  <c r="I403" i="2" s="1"/>
  <c r="H401" i="2"/>
  <c r="I401" i="2" s="1"/>
  <c r="H399" i="2"/>
  <c r="I399" i="2" s="1"/>
  <c r="H408" i="2"/>
  <c r="I408" i="2" s="1"/>
  <c r="H406" i="2"/>
  <c r="I406" i="2" s="1"/>
  <c r="H404" i="2"/>
  <c r="I404" i="2" s="1"/>
  <c r="H402" i="2"/>
  <c r="I402" i="2" s="1"/>
  <c r="H400" i="2"/>
  <c r="I400" i="2" s="1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124" i="2"/>
  <c r="I132" i="2"/>
  <c r="I140" i="2"/>
  <c r="I148" i="2"/>
  <c r="I172" i="2"/>
  <c r="I37" i="2"/>
  <c r="H60" i="2"/>
  <c r="I60" i="2" s="1"/>
  <c r="H64" i="2"/>
  <c r="I64" i="2" s="1"/>
  <c r="H68" i="2"/>
  <c r="I68" i="2" s="1"/>
  <c r="H72" i="2"/>
  <c r="I72" i="2" s="1"/>
  <c r="H76" i="2"/>
  <c r="I76" i="2" s="1"/>
  <c r="H80" i="2"/>
  <c r="I80" i="2" s="1"/>
  <c r="H84" i="2"/>
  <c r="I84" i="2" s="1"/>
  <c r="H88" i="2"/>
  <c r="I88" i="2" s="1"/>
  <c r="H92" i="2"/>
  <c r="I92" i="2" s="1"/>
  <c r="H96" i="2"/>
  <c r="I96" i="2" s="1"/>
  <c r="I126" i="2"/>
  <c r="I134" i="2"/>
  <c r="I142" i="2"/>
  <c r="I150" i="2"/>
  <c r="I158" i="2"/>
  <c r="I166" i="2"/>
  <c r="I174" i="2"/>
  <c r="I182" i="2"/>
  <c r="I190" i="2"/>
  <c r="I36" i="2"/>
  <c r="I39" i="2"/>
  <c r="I128" i="2"/>
  <c r="I136" i="2"/>
  <c r="I144" i="2"/>
  <c r="I152" i="2"/>
  <c r="I160" i="2"/>
  <c r="I168" i="2"/>
  <c r="I176" i="2"/>
  <c r="I184" i="2"/>
  <c r="H192" i="2"/>
  <c r="I192" i="2" s="1"/>
  <c r="I41" i="2"/>
  <c r="H62" i="2"/>
  <c r="I62" i="2" s="1"/>
  <c r="H66" i="2"/>
  <c r="I66" i="2" s="1"/>
  <c r="H70" i="2"/>
  <c r="I70" i="2" s="1"/>
  <c r="H74" i="2"/>
  <c r="I74" i="2" s="1"/>
  <c r="H78" i="2"/>
  <c r="I78" i="2" s="1"/>
  <c r="H82" i="2"/>
  <c r="I82" i="2" s="1"/>
  <c r="H86" i="2"/>
  <c r="I86" i="2" s="1"/>
  <c r="H90" i="2"/>
  <c r="I90" i="2" s="1"/>
  <c r="H94" i="2"/>
  <c r="I94" i="2" s="1"/>
  <c r="I122" i="2"/>
  <c r="I130" i="2"/>
  <c r="I138" i="2"/>
  <c r="I146" i="2"/>
  <c r="I154" i="2"/>
  <c r="I162" i="2"/>
  <c r="I170" i="2"/>
  <c r="I178" i="2"/>
  <c r="I186" i="2"/>
  <c r="H38" i="2"/>
  <c r="I38" i="2" s="1"/>
  <c r="I55" i="2"/>
  <c r="I59" i="2"/>
  <c r="I63" i="2"/>
  <c r="I67" i="2"/>
  <c r="I71" i="2"/>
  <c r="I75" i="2"/>
  <c r="I79" i="2"/>
  <c r="I83" i="2"/>
  <c r="I87" i="2"/>
  <c r="I91" i="2"/>
  <c r="I95" i="2"/>
  <c r="I56" i="2"/>
  <c r="I40" i="2"/>
  <c r="H54" i="2"/>
  <c r="I54" i="2" s="1"/>
  <c r="I57" i="2"/>
  <c r="H58" i="2"/>
  <c r="I58" i="2" s="1"/>
  <c r="I61" i="2"/>
  <c r="I65" i="2"/>
  <c r="I69" i="2"/>
  <c r="I73" i="2"/>
  <c r="I77" i="2"/>
  <c r="I81" i="2"/>
  <c r="I85" i="2"/>
  <c r="I89" i="2"/>
  <c r="I93" i="2"/>
  <c r="I123" i="2"/>
  <c r="H4" i="2"/>
  <c r="I4" i="2" s="1"/>
  <c r="H244" i="2"/>
  <c r="I244" i="2" s="1"/>
  <c r="H260" i="2"/>
  <c r="I260" i="2" s="1"/>
  <c r="H284" i="2"/>
  <c r="I284" i="2" s="1"/>
  <c r="H292" i="2"/>
  <c r="I292" i="2" s="1"/>
  <c r="H308" i="2"/>
  <c r="I308" i="2" s="1"/>
  <c r="H252" i="2"/>
  <c r="I252" i="2" s="1"/>
  <c r="H268" i="2"/>
  <c r="I268" i="2" s="1"/>
  <c r="H276" i="2"/>
  <c r="I276" i="2" s="1"/>
  <c r="H300" i="2"/>
  <c r="I300" i="2" s="1"/>
  <c r="H316" i="2"/>
  <c r="I316" i="2" s="1"/>
  <c r="H240" i="2"/>
  <c r="I240" i="2" s="1"/>
  <c r="H248" i="2"/>
  <c r="I248" i="2" s="1"/>
  <c r="H256" i="2"/>
  <c r="I256" i="2" s="1"/>
  <c r="H264" i="2"/>
  <c r="I264" i="2" s="1"/>
  <c r="H272" i="2"/>
  <c r="I272" i="2" s="1"/>
  <c r="H280" i="2"/>
  <c r="I280" i="2" s="1"/>
  <c r="H288" i="2"/>
  <c r="I288" i="2" s="1"/>
  <c r="H296" i="2"/>
  <c r="I296" i="2" s="1"/>
  <c r="H304" i="2"/>
  <c r="I304" i="2" s="1"/>
  <c r="H312" i="2"/>
  <c r="I312" i="2" s="1"/>
  <c r="H320" i="2"/>
  <c r="I320" i="2" s="1"/>
  <c r="I239" i="2"/>
  <c r="I243" i="2"/>
  <c r="I247" i="2"/>
  <c r="I251" i="2"/>
  <c r="I255" i="2"/>
  <c r="I259" i="2"/>
  <c r="I263" i="2"/>
  <c r="I267" i="2"/>
  <c r="I271" i="2"/>
  <c r="I275" i="2"/>
  <c r="I279" i="2"/>
  <c r="I283" i="2"/>
  <c r="I287" i="2"/>
  <c r="I291" i="2"/>
  <c r="I295" i="2"/>
  <c r="I299" i="2"/>
  <c r="I303" i="2"/>
  <c r="I307" i="2"/>
  <c r="I311" i="2"/>
  <c r="I315" i="2"/>
  <c r="I319" i="2"/>
  <c r="I323" i="2"/>
  <c r="I241" i="2"/>
  <c r="H242" i="2"/>
  <c r="I242" i="2" s="1"/>
  <c r="I245" i="2"/>
  <c r="H246" i="2"/>
  <c r="I246" i="2" s="1"/>
  <c r="I249" i="2"/>
  <c r="H250" i="2"/>
  <c r="I250" i="2" s="1"/>
  <c r="I253" i="2"/>
  <c r="H254" i="2"/>
  <c r="I254" i="2" s="1"/>
  <c r="I257" i="2"/>
  <c r="H258" i="2"/>
  <c r="I258" i="2" s="1"/>
  <c r="I261" i="2"/>
  <c r="H262" i="2"/>
  <c r="I262" i="2" s="1"/>
  <c r="I265" i="2"/>
  <c r="H266" i="2"/>
  <c r="I266" i="2" s="1"/>
  <c r="I269" i="2"/>
  <c r="H270" i="2"/>
  <c r="I270" i="2" s="1"/>
  <c r="I273" i="2"/>
  <c r="H274" i="2"/>
  <c r="I274" i="2" s="1"/>
  <c r="I277" i="2"/>
  <c r="H278" i="2"/>
  <c r="I278" i="2" s="1"/>
  <c r="I281" i="2"/>
  <c r="H282" i="2"/>
  <c r="I282" i="2" s="1"/>
  <c r="I285" i="2"/>
  <c r="H286" i="2"/>
  <c r="I286" i="2" s="1"/>
  <c r="I289" i="2"/>
  <c r="H290" i="2"/>
  <c r="I290" i="2" s="1"/>
  <c r="I293" i="2"/>
  <c r="H294" i="2"/>
  <c r="I294" i="2" s="1"/>
  <c r="I297" i="2"/>
  <c r="H298" i="2"/>
  <c r="I298" i="2" s="1"/>
  <c r="I301" i="2"/>
  <c r="H302" i="2"/>
  <c r="I302" i="2" s="1"/>
  <c r="I305" i="2"/>
  <c r="H306" i="2"/>
  <c r="I306" i="2" s="1"/>
  <c r="I309" i="2"/>
  <c r="H310" i="2"/>
  <c r="I310" i="2" s="1"/>
  <c r="I313" i="2"/>
  <c r="H314" i="2"/>
  <c r="I314" i="2" s="1"/>
  <c r="I317" i="2"/>
  <c r="H318" i="2"/>
  <c r="I318" i="2" s="1"/>
  <c r="I321" i="2"/>
  <c r="H322" i="2"/>
  <c r="I322" i="2" s="1"/>
  <c r="I4" i="1"/>
  <c r="I485" i="1" s="1"/>
  <c r="H434" i="2" l="1"/>
</calcChain>
</file>

<file path=xl/sharedStrings.xml><?xml version="1.0" encoding="utf-8"?>
<sst xmlns="http://schemas.openxmlformats.org/spreadsheetml/2006/main" count="1887" uniqueCount="795">
  <si>
    <t xml:space="preserve">KENDRIYA VIDYALAYA SULUR </t>
  </si>
  <si>
    <t xml:space="preserve">LIST OF BOOKS RECOMMENDED FOR WRITE-OFF (SCHOOL FUND) </t>
  </si>
  <si>
    <t>Sl.No</t>
  </si>
  <si>
    <t>ACC NO.</t>
  </si>
  <si>
    <t>NAME OF THE BOOK</t>
  </si>
  <si>
    <t>COST Rs.</t>
  </si>
  <si>
    <t>DIS %</t>
  </si>
  <si>
    <t>DIS Rs</t>
  </si>
  <si>
    <t>RATE Rs.</t>
  </si>
  <si>
    <t>DEP. Rs</t>
  </si>
  <si>
    <t>NET. RS</t>
  </si>
  <si>
    <t>No. OF YEARS</t>
  </si>
  <si>
    <t>YEAR OF PURCHASE</t>
  </si>
  <si>
    <t>DATE WHEN IT BECAME UNSERVICABLE</t>
  </si>
  <si>
    <t>REASON FOR CONDEMNATION</t>
  </si>
  <si>
    <t>BHARTIYA SANSKRITI DIGDARSHAN</t>
  </si>
  <si>
    <t>Torn and Damaged</t>
  </si>
  <si>
    <t>YUGPURUSH SWAMI VIVEKANAND</t>
  </si>
  <si>
    <t>Pitaamah Bheeshma</t>
  </si>
  <si>
    <t>Punjab kesari lala lajpat rai</t>
  </si>
  <si>
    <t>Rakhi Ki Chunauti</t>
  </si>
  <si>
    <t>Raja Ram Mohan Roy</t>
  </si>
  <si>
    <t>Electricity and magnetism</t>
  </si>
  <si>
    <t>The Innominateble Sardar</t>
  </si>
  <si>
    <t>Television</t>
  </si>
  <si>
    <t>Nepal</t>
  </si>
  <si>
    <t>A Wonder Book</t>
  </si>
  <si>
    <t>Lets Travel in the Holy Land</t>
  </si>
  <si>
    <t>LET'S TRAVEL IN HOLLAND</t>
  </si>
  <si>
    <t>AVIMARAKAM</t>
  </si>
  <si>
    <t>learn about costmers</t>
  </si>
  <si>
    <t>wealth from the grand</t>
  </si>
  <si>
    <t>Teaching english</t>
  </si>
  <si>
    <t>An angry elephant</t>
  </si>
  <si>
    <t>The sinister signpost</t>
  </si>
  <si>
    <t>Cell Biology, Genetics, Molecular Biology and Evolution</t>
  </si>
  <si>
    <t>Physics Part-1</t>
  </si>
  <si>
    <t>Current english usage</t>
  </si>
  <si>
    <t>Anna karenina tolstoy</t>
  </si>
  <si>
    <t>Gymnosperms</t>
  </si>
  <si>
    <t>BRYOPHYTA</t>
  </si>
  <si>
    <t>Practical Biology</t>
  </si>
  <si>
    <t>mystery of the glowing eye</t>
  </si>
  <si>
    <t>Mystery at the Ski Jump</t>
  </si>
  <si>
    <t>Playlets of pleasure</t>
  </si>
  <si>
    <t>Gaban</t>
  </si>
  <si>
    <t>Prathiya</t>
  </si>
  <si>
    <t>Bacchon Ke Natak</t>
  </si>
  <si>
    <t>Meri Priya Kahaniyan</t>
  </si>
  <si>
    <t>MERI PRIYA KAHANIYA</t>
  </si>
  <si>
    <t>Meri priya Kahaniya</t>
  </si>
  <si>
    <t>meri priya kahari</t>
  </si>
  <si>
    <t>Maa Ki Mamtha</t>
  </si>
  <si>
    <t>Sterographic Projections</t>
  </si>
  <si>
    <t>Computational Mathematics</t>
  </si>
  <si>
    <t>Dividing A Segment In A Retio</t>
  </si>
  <si>
    <t>Principals Of Microprocess</t>
  </si>
  <si>
    <t>Remarkeble Curves</t>
  </si>
  <si>
    <t>Fundamentals of Organic Chemistry-V2</t>
  </si>
  <si>
    <t>Fundamentals of Organic Chemistry-V3</t>
  </si>
  <si>
    <t>Fundamentals of Organic Chemistry-V4</t>
  </si>
  <si>
    <t>Problems Of Development Biology</t>
  </si>
  <si>
    <t>Analytical Geometry</t>
  </si>
  <si>
    <t>The notes verbs forms and primary derivations of the sanskrit language</t>
  </si>
  <si>
    <t>Thaithiropanishad</t>
  </si>
  <si>
    <t>Sanskrit Sahitya Ka Ethihas</t>
  </si>
  <si>
    <t>Panchatantram</t>
  </si>
  <si>
    <t>hindi bhoj praband</t>
  </si>
  <si>
    <t>Rathnavali naatika</t>
  </si>
  <si>
    <t>Sanskrit book</t>
  </si>
  <si>
    <t>Hithopadesha</t>
  </si>
  <si>
    <t>Animals I love</t>
  </si>
  <si>
    <t>A picture book of animal pets</t>
  </si>
  <si>
    <t>Parineeta</t>
  </si>
  <si>
    <t>Badi dhidhi</t>
  </si>
  <si>
    <t>Devadas</t>
  </si>
  <si>
    <t>Vilase</t>
  </si>
  <si>
    <t>Vairaagi</t>
  </si>
  <si>
    <t>Durbhaagya Chatri</t>
  </si>
  <si>
    <t>Paraayaa</t>
  </si>
  <si>
    <t>Daak Ghar</t>
  </si>
  <si>
    <t>Chandranaath</t>
  </si>
  <si>
    <t>Vijaya</t>
  </si>
  <si>
    <t>Lena Dena</t>
  </si>
  <si>
    <t>Bhando Ka Ladka</t>
  </si>
  <si>
    <t>Brahman Ki Beti</t>
  </si>
  <si>
    <t>nasht need</t>
  </si>
  <si>
    <t>Teen Saathi</t>
  </si>
  <si>
    <t>KABULIVALA</t>
  </si>
  <si>
    <t>Krishnacharitra</t>
  </si>
  <si>
    <t>Shishmahal Ki Rajkumari</t>
  </si>
  <si>
    <t>Shakuntala</t>
  </si>
  <si>
    <t>Chiraag</t>
  </si>
  <si>
    <t>Saat Shikhar</t>
  </si>
  <si>
    <t>Sanad Katha Manjusha</t>
  </si>
  <si>
    <t>Kannada Laghu Kathayein</t>
  </si>
  <si>
    <t>Parasuram ki chuni hui kahaniyan</t>
  </si>
  <si>
    <t>Leo Tolstoy Resurrection</t>
  </si>
  <si>
    <t>Handbook of Physics</t>
  </si>
  <si>
    <t>Problems and exercises in calcules of variations</t>
  </si>
  <si>
    <t>Electrical Measurements and Measuring Instruments</t>
  </si>
  <si>
    <t>Instrumentation Devices</t>
  </si>
  <si>
    <t>Electrical Engineering</t>
  </si>
  <si>
    <t>Objective Type &amp; Short Answers, Questions in Physics</t>
  </si>
  <si>
    <t>Objective Type &amp; short answer-Biology</t>
  </si>
  <si>
    <t>Objective Botany</t>
  </si>
  <si>
    <t>Objective Chemistry</t>
  </si>
  <si>
    <t>Reading with sounds</t>
  </si>
  <si>
    <t>Amar Vani</t>
  </si>
  <si>
    <t>A course of english pronunciation</t>
  </si>
  <si>
    <t>Katha Jagannath Ki</t>
  </si>
  <si>
    <t>Katha Badrinath Ki</t>
  </si>
  <si>
    <t>Vaaman Puran Katha</t>
  </si>
  <si>
    <t>Garud puran kya hai</t>
  </si>
  <si>
    <t>Matsya purad katha</t>
  </si>
  <si>
    <t>Vish vriksh</t>
  </si>
  <si>
    <t>Aanandh Math</t>
  </si>
  <si>
    <t>muhawara leykeythith kosha</t>
  </si>
  <si>
    <t>Meri Bhagya</t>
  </si>
  <si>
    <t>Animal Encyclopaedia</t>
  </si>
  <si>
    <t>Garden flowers</t>
  </si>
  <si>
    <t>Wild Flowers</t>
  </si>
  <si>
    <t>Sea Life</t>
  </si>
  <si>
    <t>The family encylopedia of animal life</t>
  </si>
  <si>
    <t>The family encylopedia of natural history</t>
  </si>
  <si>
    <t>Savitri and satyavan</t>
  </si>
  <si>
    <t>Chemistry obejective tests</t>
  </si>
  <si>
    <t>Reactions,conversions,and problems in organic chemistry</t>
  </si>
  <si>
    <t>Inorganic chemistry</t>
  </si>
  <si>
    <t>Basic applied chemistry</t>
  </si>
  <si>
    <t>Organic Chemistry</t>
  </si>
  <si>
    <t>Probability Theory</t>
  </si>
  <si>
    <t>Joint Venture</t>
  </si>
  <si>
    <t>FISCAL ECONOMICS</t>
  </si>
  <si>
    <t>High school english grammar and composition</t>
  </si>
  <si>
    <t>Schoolview Panels</t>
  </si>
  <si>
    <t>school new panels</t>
  </si>
  <si>
    <t>Environmental Education</t>
  </si>
  <si>
    <t>animal physiology</t>
  </si>
  <si>
    <t>Cytology</t>
  </si>
  <si>
    <t>Practical biochemistry</t>
  </si>
  <si>
    <t>Economic Botany</t>
  </si>
  <si>
    <t>Working with community and Teacher education</t>
  </si>
  <si>
    <t>New practical chemistry</t>
  </si>
  <si>
    <t>Cell Biology, Genetics and Ecology</t>
  </si>
  <si>
    <t>A laboratory mahunal of physics (For undergorund classes)</t>
  </si>
  <si>
    <t>climpses of world history</t>
  </si>
  <si>
    <t>Value education:theory and practice</t>
  </si>
  <si>
    <t>Value Education</t>
  </si>
  <si>
    <t>Kumaranasam Bhavam</t>
  </si>
  <si>
    <t>VIKRAMORVASIYAM</t>
  </si>
  <si>
    <t>MEGHADUTAM</t>
  </si>
  <si>
    <t>Abhijnanashakuntalam</t>
  </si>
  <si>
    <t>DHATURUPA MANJARI</t>
  </si>
  <si>
    <t>RITUSAMHARA</t>
  </si>
  <si>
    <t>Kiratarjuniyum</t>
  </si>
  <si>
    <t>Balaramayanam</t>
  </si>
  <si>
    <t>THE KUVALAYANANDA</t>
  </si>
  <si>
    <t>Kadambari Sangraha</t>
  </si>
  <si>
    <t>MRCCHAKATHA KATHASANGRAHA</t>
  </si>
  <si>
    <t>Mahakavi Baasha Ek adhyayan</t>
  </si>
  <si>
    <t>Mathematical Handbook</t>
  </si>
  <si>
    <t>A Collection of Problems</t>
  </si>
  <si>
    <t>A COLLECTION OF PROBLEMS</t>
  </si>
  <si>
    <t>Vector Algebra</t>
  </si>
  <si>
    <t>ANALYTICAL SOLID GEOMETRY</t>
  </si>
  <si>
    <t>Trigonometry</t>
  </si>
  <si>
    <t>ANALYTIC GEOMETRY- 1</t>
  </si>
  <si>
    <t>hindi kahavat kosha</t>
  </si>
  <si>
    <t>Haasya Ekaanki</t>
  </si>
  <si>
    <t>Hindi Shikshan</t>
  </si>
  <si>
    <t>Basic Physics</t>
  </si>
  <si>
    <t>Fundamental chemistry</t>
  </si>
  <si>
    <t>Elements of physics course A</t>
  </si>
  <si>
    <t>chemistry volume 1</t>
  </si>
  <si>
    <t>chemistry volume 2</t>
  </si>
  <si>
    <t>Fundamentals of solid state physics</t>
  </si>
  <si>
    <t>Elements of spectroscopy</t>
  </si>
  <si>
    <t>Marothal ke fool</t>
  </si>
  <si>
    <t>Subodh shishogeet</t>
  </si>
  <si>
    <t>Jatak Kathayein</t>
  </si>
  <si>
    <t>Shikshaprad khatayai</t>
  </si>
  <si>
    <t>Agnishiva</t>
  </si>
  <si>
    <t>Phoolon Ki Varshi</t>
  </si>
  <si>
    <t>Pitrubhakt Balak</t>
  </si>
  <si>
    <t>SALWARO KA SAMVAD</t>
  </si>
  <si>
    <t>Desh ki aanpar</t>
  </si>
  <si>
    <t>puja ke fool</t>
  </si>
  <si>
    <t>naye nibandh</t>
  </si>
  <si>
    <t>Aum Karanthi Karanthi</t>
  </si>
  <si>
    <t>BHARAT- BHARATI</t>
  </si>
  <si>
    <t>Bharat-Bharati</t>
  </si>
  <si>
    <t>Physics can be fun</t>
  </si>
  <si>
    <t>Modern intermediate chemistry vol.2</t>
  </si>
  <si>
    <t>Fundamentals of Chemical Thermodynamics</t>
  </si>
  <si>
    <t>Monson Asia</t>
  </si>
  <si>
    <t>Practical business english - book 1</t>
  </si>
  <si>
    <t>Practical chemistry vol.1</t>
  </si>
  <si>
    <t>Practical business english - book 3</t>
  </si>
  <si>
    <t>Practical business english - book 2</t>
  </si>
  <si>
    <t>Uttar Bharat Ki Shreshth Lok Kathayein</t>
  </si>
  <si>
    <t>Mahabharat Ki Antarkathayein</t>
  </si>
  <si>
    <t>Mahabharat ki Ankar kathayein</t>
  </si>
  <si>
    <t>Ramayan Ki Antarkathayein</t>
  </si>
  <si>
    <t>Kevad</t>
  </si>
  <si>
    <t>Laxman</t>
  </si>
  <si>
    <t>Ramayana Ki Anthakrathayen</t>
  </si>
  <si>
    <t>Gurunanak Dev</t>
  </si>
  <si>
    <t>Ek Aur Asveekriti</t>
  </si>
  <si>
    <t>Hindi Ucharan Aur Varthani</t>
  </si>
  <si>
    <t>hindi shaahithya mey haashya rasha</t>
  </si>
  <si>
    <t>Sankshipta Bhasha Vigyaan</t>
  </si>
  <si>
    <t>Ekkanki</t>
  </si>
  <si>
    <t>Mirguna kaviyan Key Samajik Aadharsh</t>
  </si>
  <si>
    <t>Shihi Ka Santh</t>
  </si>
  <si>
    <t>athith ke akshar</t>
  </si>
  <si>
    <t>Paanch Poonch Ka Chooha</t>
  </si>
  <si>
    <t>Jaat-Panth Pooche Nahi Koi</t>
  </si>
  <si>
    <t>Nira ki chidiya</t>
  </si>
  <si>
    <t>Nadi Ka Pani Laal</t>
  </si>
  <si>
    <t>Sheron Ki Bhagathad</t>
  </si>
  <si>
    <t>Doodh ka dhoya</t>
  </si>
  <si>
    <t>Gourav hare</t>
  </si>
  <si>
    <t>Veer Balak</t>
  </si>
  <si>
    <t>Thinking Together</t>
  </si>
  <si>
    <t xml:space="preserve">Thinking together </t>
  </si>
  <si>
    <t>Thinking together</t>
  </si>
  <si>
    <t>New focuses on teaching - learning and remembering a lesson</t>
  </si>
  <si>
    <t>Teaching in the Outdoors: An Environmental Education Manual</t>
  </si>
  <si>
    <t>The best thirteen</t>
  </si>
  <si>
    <t>The element of coordinate geometry</t>
  </si>
  <si>
    <t>Vanijya Ke Mool Tatva</t>
  </si>
  <si>
    <t>Plus-two Practical Physics</t>
  </si>
  <si>
    <t>Problems in Crystal Physics with Solutions</t>
  </si>
  <si>
    <t>swift gullivers travels</t>
  </si>
  <si>
    <t>POPE:Rape of the lock</t>
  </si>
  <si>
    <t>Modern english</t>
  </si>
  <si>
    <t>Samruthi-Kalash</t>
  </si>
  <si>
    <t>Strengthen your writing</t>
  </si>
  <si>
    <t>A communicative grammar of english</t>
  </si>
  <si>
    <t>Laboratory manual in chemistry part 2 for class xii</t>
  </si>
  <si>
    <t>Bhakt Milap</t>
  </si>
  <si>
    <t>Gaurav Ganv</t>
  </si>
  <si>
    <t>Aitihasik Gathayen</t>
  </si>
  <si>
    <t>Fundamentals of Plant physiology</t>
  </si>
  <si>
    <t>Oraganic chemistry</t>
  </si>
  <si>
    <t>Applied chemistry</t>
  </si>
  <si>
    <t>micro biology</t>
  </si>
  <si>
    <t>handbook on micro biology</t>
  </si>
  <si>
    <t>L.I.Ponomarev-The Quantum Dice</t>
  </si>
  <si>
    <t>Aadmi</t>
  </si>
  <si>
    <t>Alibaba aur chalis chor</t>
  </si>
  <si>
    <t>Ravjaney Ka chor</t>
  </si>
  <si>
    <t>Manoranjak Kathayein</t>
  </si>
  <si>
    <t>Saat Mahaan Aashcharyon Ki Kahani</t>
  </si>
  <si>
    <t>Achhe Bano</t>
  </si>
  <si>
    <t>bharat bhoomi aur log</t>
  </si>
  <si>
    <t>Chamatkari Taviz</t>
  </si>
  <si>
    <t>Teesmar Rava</t>
  </si>
  <si>
    <t>David Copperfield</t>
  </si>
  <si>
    <t>Baraf ki rani</t>
  </si>
  <si>
    <t>kala ghora</t>
  </si>
  <si>
    <t>kala phool</t>
  </si>
  <si>
    <t>phool keylaey hai daali daali</t>
  </si>
  <si>
    <t>Sunao Nani Ek Kahaani</t>
  </si>
  <si>
    <t>Budhi Kaaki</t>
  </si>
  <si>
    <t>Sujan Bharat</t>
  </si>
  <si>
    <t>Gilli Danda</t>
  </si>
  <si>
    <t>Ramleela</t>
  </si>
  <si>
    <t>Prakash aur Jal</t>
  </si>
  <si>
    <t>Ganit Ki Kahani</t>
  </si>
  <si>
    <t>Vigyaan Ki Baatein</t>
  </si>
  <si>
    <t>Janmadhin Ki Mett</t>
  </si>
  <si>
    <t>gautam buddh</t>
  </si>
  <si>
    <t>Veer Savarkar</t>
  </si>
  <si>
    <t>mahakavi kalidas</t>
  </si>
  <si>
    <t>hemo jahangir mama</t>
  </si>
  <si>
    <t>Srinivasa Ramanujan</t>
  </si>
  <si>
    <t>Mahan Vaigyaanik Benjamin Franklin</t>
  </si>
  <si>
    <t>Telephone ke avishkar graham bel ki kahani</t>
  </si>
  <si>
    <t>Premi ki kahani</t>
  </si>
  <si>
    <t>Telegraph ke avishkar finle morse ki kahane</t>
  </si>
  <si>
    <t>Baal sena</t>
  </si>
  <si>
    <t>Sadachar ki Kathaye</t>
  </si>
  <si>
    <t>konark</t>
  </si>
  <si>
    <t>Jiga Mat Ja</t>
  </si>
  <si>
    <t>Roop</t>
  </si>
  <si>
    <t>Bharathiya Samisha Aur Aacharya Shukal Ki Kavya-Dhursta</t>
  </si>
  <si>
    <t>Keshav ka Aavarthyathra</t>
  </si>
  <si>
    <t>Swantantryottar Hindi Saahitya Ka Itihaas</t>
  </si>
  <si>
    <t>Hindi Kahani Philhaal</t>
  </si>
  <si>
    <t>Meri Priya Kahaniya</t>
  </si>
  <si>
    <t>Solutions to holiday and resnick physics</t>
  </si>
  <si>
    <t>Electriciy &amp; Magnetism with electronics</t>
  </si>
  <si>
    <t>Practical biology</t>
  </si>
  <si>
    <t>a text book of biology</t>
  </si>
  <si>
    <t>Key to wren &amp; martin's high school english grammar composition</t>
  </si>
  <si>
    <t>The Electric Field</t>
  </si>
  <si>
    <t>plant pathology</t>
  </si>
  <si>
    <t>Vector Calculus</t>
  </si>
  <si>
    <t>Viva-Voce in Physics</t>
  </si>
  <si>
    <t>Luminescence</t>
  </si>
  <si>
    <t>Problems in Planet Geometry</t>
  </si>
  <si>
    <t>hand book of elementary physics</t>
  </si>
  <si>
    <t>Excellence in teaching</t>
  </si>
  <si>
    <t>The Nature Of Mathematics</t>
  </si>
  <si>
    <t>Fascinating World of Mathematical Science-Volume 2</t>
  </si>
  <si>
    <t>Applications of Mathematics</t>
  </si>
  <si>
    <t>A Fascinating World of Mathematical Sciences</t>
  </si>
  <si>
    <t>Fascinating World of Mathematical Science-Volume 4</t>
  </si>
  <si>
    <t>Fascinating World of Mathematical Science-Volume7</t>
  </si>
  <si>
    <t>Areas of logarithms</t>
  </si>
  <si>
    <t>Trapanjane Raste</t>
  </si>
  <si>
    <t>Vaidaki himsa Himsa Na Bhavati</t>
  </si>
  <si>
    <t>Kursi gaya</t>
  </si>
  <si>
    <t>Bharat Ki Durdasha</t>
  </si>
  <si>
    <t>Saat nibandh</t>
  </si>
  <si>
    <t>Hamare Desh Keyh Sikeh</t>
  </si>
  <si>
    <t>kya koya:kya paaya</t>
  </si>
  <si>
    <t>Ehsaanprosh Sherni</t>
  </si>
  <si>
    <t>Azadi Ke Liye Chatpata Gend</t>
  </si>
  <si>
    <t>Amar Ho Gaya Magar</t>
  </si>
  <si>
    <t>Sujbuj Ki Kahaniya</t>
  </si>
  <si>
    <t>Saahashi baachon ki satya kathayam</t>
  </si>
  <si>
    <t>Acche Achhe Kathayein</t>
  </si>
  <si>
    <t>Munni Ki Chunni</t>
  </si>
  <si>
    <t>Ankh mechouni</t>
  </si>
  <si>
    <t>Aahal Udhal</t>
  </si>
  <si>
    <t>Bihar Ka Ganv Kasbe Ki Kahaniyan</t>
  </si>
  <si>
    <t>Rastra heta swai dayanand</t>
  </si>
  <si>
    <t>Monitory Economics</t>
  </si>
  <si>
    <t>RSVP with etymology</t>
  </si>
  <si>
    <t>Basic Concepts of Physics Vol-2</t>
  </si>
  <si>
    <t>PRINCIPLES OF GEOGRAPHY - PART 1 (physical geography)</t>
  </si>
  <si>
    <t>Current english for colleges</t>
  </si>
  <si>
    <t>SENIOR SECONDARY GEOGRAPHY</t>
  </si>
  <si>
    <t>Senior school Bhugol</t>
  </si>
  <si>
    <t>Data pascal and you</t>
  </si>
  <si>
    <t>secondary school science</t>
  </si>
  <si>
    <t>Fundamentals of class 12th</t>
  </si>
  <si>
    <t>prachin aur madhyakaalin bhaarat ka ithihaas</t>
  </si>
  <si>
    <t>Prachin aur madyakalin bharath ka iithihas</t>
  </si>
  <si>
    <t>Saahash aur shaurya</t>
  </si>
  <si>
    <t>Electricity and Magnetism</t>
  </si>
  <si>
    <t>Fasinating World Of Mathematics Science</t>
  </si>
  <si>
    <t>Animal Ecology</t>
  </si>
  <si>
    <t>Animal Histology</t>
  </si>
  <si>
    <t>Animal Ecology and Zoo Geography</t>
  </si>
  <si>
    <t>Practical Chordate Zoology</t>
  </si>
  <si>
    <t>History of india</t>
  </si>
  <si>
    <t>A Textbook of Biology</t>
  </si>
  <si>
    <t>Maa ki Mamtha</t>
  </si>
  <si>
    <t>Mahas hans pushpavati khetan</t>
  </si>
  <si>
    <t>Uraf saam</t>
  </si>
  <si>
    <t>vah devta</t>
  </si>
  <si>
    <t>Phovsala</t>
  </si>
  <si>
    <t>Ek Aasman Ke Neeche</t>
  </si>
  <si>
    <t>Prathibarali chatraro ka rishan</t>
  </si>
  <si>
    <t>Do Nagaron Ki Kahani</t>
  </si>
  <si>
    <t>Vishva Suthi Kosha</t>
  </si>
  <si>
    <t>Bharatanedu Harichandra</t>
  </si>
  <si>
    <t>Mirala</t>
  </si>
  <si>
    <t>Nethik vikas ki our</t>
  </si>
  <si>
    <t>An Introduction to Programming and Problem Solving with Pascal</t>
  </si>
  <si>
    <t>Elements of electrical tecnology</t>
  </si>
  <si>
    <t>Bhavishyavaaniya Aur unkeay Bhavishyaveththa</t>
  </si>
  <si>
    <t>Shararathpurna Majaak</t>
  </si>
  <si>
    <t>Geethanjali</t>
  </si>
  <si>
    <t>Anandher</t>
  </si>
  <si>
    <t>THE GIRAFFE AND THE THIEF</t>
  </si>
  <si>
    <t>Around the World in Eight Days</t>
  </si>
  <si>
    <t>Prakash</t>
  </si>
  <si>
    <t>Rahim</t>
  </si>
  <si>
    <t>prashath ki sampoorn Kahaniyan</t>
  </si>
  <si>
    <t>Mithila Ki Lok Kathayein</t>
  </si>
  <si>
    <t>Gujarat Ki Lok Kathayein</t>
  </si>
  <si>
    <t>Remembering our leaders</t>
  </si>
  <si>
    <t>bioenergetics</t>
  </si>
  <si>
    <t>You too can draw</t>
  </si>
  <si>
    <t>Modern short stories</t>
  </si>
  <si>
    <t>The moment of truth</t>
  </si>
  <si>
    <t>The sword of DARA SHIKOH</t>
  </si>
  <si>
    <t>Modern India and contemporary world</t>
  </si>
  <si>
    <t>Senior School Geography</t>
  </si>
  <si>
    <t>New approach to history of ancient and medieval india</t>
  </si>
  <si>
    <t>History of modern india and comtemporary world</t>
  </si>
  <si>
    <t>Senior school physics for class XI</t>
  </si>
  <si>
    <t>Refresher course in geography ( For class XII )</t>
  </si>
  <si>
    <t>Refreshner Cause in Geography-Class:XII</t>
  </si>
  <si>
    <t>Rani Ka Pret</t>
  </si>
  <si>
    <t>Galat Fehmi</t>
  </si>
  <si>
    <t>Thenali Ka Phovsala</t>
  </si>
  <si>
    <t>Shuam Ka Mahatva</t>
  </si>
  <si>
    <t>April Fool</t>
  </si>
  <si>
    <t>Mahine me ek bar</t>
  </si>
  <si>
    <t>Science for tenth class biology</t>
  </si>
  <si>
    <t>The Magic Tree and Other Tales</t>
  </si>
  <si>
    <t>ceramics are forever</t>
  </si>
  <si>
    <t>liposome technology</t>
  </si>
  <si>
    <t>Macmillan's physics ( For class XI)</t>
  </si>
  <si>
    <t>Practical Physics:XI</t>
  </si>
  <si>
    <t>Comprehensive Practical Physics-Class:XII</t>
  </si>
  <si>
    <t>Kamban</t>
  </si>
  <si>
    <t>barathiyar kavithaigal</t>
  </si>
  <si>
    <t>Senior secondary geography (part - 2)</t>
  </si>
  <si>
    <t>More tell me how</t>
  </si>
  <si>
    <t>Altemative currents</t>
  </si>
  <si>
    <t>Fundamentals of Phyiscs</t>
  </si>
  <si>
    <t>The golden path</t>
  </si>
  <si>
    <t>shikshaprad rojak ahaniyam</t>
  </si>
  <si>
    <t>Kodi se karod</t>
  </si>
  <si>
    <t>history of economic thought</t>
  </si>
  <si>
    <t>Cricket</t>
  </si>
  <si>
    <t>geneties today</t>
  </si>
  <si>
    <t>The mysterious affair at styles</t>
  </si>
  <si>
    <t>Jungle book</t>
  </si>
  <si>
    <t>hamlet</t>
  </si>
  <si>
    <t>The story of sarada devi</t>
  </si>
  <si>
    <t>how things work</t>
  </si>
  <si>
    <t>english 400:reading programme</t>
  </si>
  <si>
    <t>scouting for boys in India</t>
  </si>
  <si>
    <t>Know your flower</t>
  </si>
  <si>
    <t>Stories for children</t>
  </si>
  <si>
    <t>Balaramayana</t>
  </si>
  <si>
    <t>Yaksha prasnam</t>
  </si>
  <si>
    <t>Daily inspiration</t>
  </si>
  <si>
    <t>TB of Social science</t>
  </si>
  <si>
    <t>Textbook of Social Science</t>
  </si>
  <si>
    <t>Indian economics</t>
  </si>
  <si>
    <t>Studies in human rights</t>
  </si>
  <si>
    <t>Computer science X</t>
  </si>
  <si>
    <t>Classic tales</t>
  </si>
  <si>
    <t>Charles Daran</t>
  </si>
  <si>
    <t>Intermediate english grammar</t>
  </si>
  <si>
    <t>Tipu sultan</t>
  </si>
  <si>
    <t>Jadu ka deepak</t>
  </si>
  <si>
    <t>Milestone 50</t>
  </si>
  <si>
    <t>Internet complete</t>
  </si>
  <si>
    <t>Rabindranath Tagore</t>
  </si>
  <si>
    <t>Textbook of microbiology</t>
  </si>
  <si>
    <t>Problems In Physics</t>
  </si>
  <si>
    <t>Solutions to physics</t>
  </si>
  <si>
    <t>BAL KATHAYEN</t>
  </si>
  <si>
    <t>teen jilange</t>
  </si>
  <si>
    <t>Evolution</t>
  </si>
  <si>
    <t>Vasantha Scan</t>
  </si>
  <si>
    <t>CHEMISTRY higher secondary . second year</t>
  </si>
  <si>
    <t>Pooh</t>
  </si>
  <si>
    <t>Magic shot : music</t>
  </si>
  <si>
    <t>arabian nights</t>
  </si>
  <si>
    <t>Science and Technology in India</t>
  </si>
  <si>
    <t>English for success</t>
  </si>
  <si>
    <t>1. Certified that the information given in column 2 to 10is correct.</t>
  </si>
  <si>
    <t xml:space="preserve">2. Certified that the books mentioned in column 2 and 3 were rendered unserviceable only account of normal </t>
  </si>
  <si>
    <t xml:space="preserve">    wear and tear and there has been no case of willful damage due to negligence of an official which require fixation</t>
  </si>
  <si>
    <t xml:space="preserve">    of responsibility.</t>
  </si>
  <si>
    <t>3.The report of the condemnation board is enclosed.</t>
  </si>
  <si>
    <t>1. Name and signature of stock incharge</t>
  </si>
  <si>
    <t>Members of VMC</t>
  </si>
  <si>
    <t>Member , VMC</t>
  </si>
  <si>
    <t xml:space="preserve">2. Name and signature of the checker  </t>
  </si>
  <si>
    <t>(CHAIRMAN VMC)</t>
  </si>
  <si>
    <t>PRINCIPAL</t>
  </si>
  <si>
    <t xml:space="preserve">                   STOCK INCHARGE</t>
  </si>
  <si>
    <t>STOCK VERIFYING OFFICIALS</t>
  </si>
  <si>
    <t>SIGNATURE OF THE CONDEMNATION COMMITTEE MEMBERS</t>
  </si>
  <si>
    <t xml:space="preserve">                  PRINCIPAL</t>
  </si>
  <si>
    <t>MEMBER</t>
  </si>
  <si>
    <t>KENDRIYA VIDYALAYA SULUR-641401</t>
  </si>
  <si>
    <t xml:space="preserve">LIST OF BOOKS RECOMMENDED FOR WRITE-OFF (VVN FUND) </t>
  </si>
  <si>
    <t>Rate Rs</t>
  </si>
  <si>
    <t xml:space="preserve">DEP </t>
  </si>
  <si>
    <t>my bed time stories</t>
  </si>
  <si>
    <t>My bedtime stories</t>
  </si>
  <si>
    <t>Objective biology</t>
  </si>
  <si>
    <t>AKBAR AND THE CROWS</t>
  </si>
  <si>
    <t>kitten wool &amp; other stories</t>
  </si>
  <si>
    <t>PLUM GIRL</t>
  </si>
  <si>
    <t>The sleeping beauty</t>
  </si>
  <si>
    <t>brave tin soldier</t>
  </si>
  <si>
    <t>the big pancake</t>
  </si>
  <si>
    <t>the bull &amp; the beffallo</t>
  </si>
  <si>
    <t>How the mousedeer tricked the cerocodiles</t>
  </si>
  <si>
    <t>the musiciansof the berman</t>
  </si>
  <si>
    <t>The magical bird</t>
  </si>
  <si>
    <t>TWELVE M0ONTHS</t>
  </si>
  <si>
    <t>The arabian nights</t>
  </si>
  <si>
    <t>the arabian nights</t>
  </si>
  <si>
    <t>Hansel&amp; Gretel</t>
  </si>
  <si>
    <t>rapunzel</t>
  </si>
  <si>
    <t>CINDRELLA</t>
  </si>
  <si>
    <t>The Little mermaid</t>
  </si>
  <si>
    <t>The stone soup</t>
  </si>
  <si>
    <t>pinocchio</t>
  </si>
  <si>
    <t>Folktales of Karnataka</t>
  </si>
  <si>
    <t>The three Musketeers</t>
  </si>
  <si>
    <t>THE EMPERORS NIGHTINGLE</t>
  </si>
  <si>
    <t>Pinocchio</t>
  </si>
  <si>
    <t>Savitri</t>
  </si>
  <si>
    <t>manmohak lokkadhayem</t>
  </si>
  <si>
    <t>MAHABHARAT</t>
  </si>
  <si>
    <t>Suapan Drashta Joseph</t>
  </si>
  <si>
    <t>joseph</t>
  </si>
  <si>
    <t>Isa ka janam</t>
  </si>
  <si>
    <t>isa ka janm</t>
  </si>
  <si>
    <t>Sher ki maad mai deniyal</t>
  </si>
  <si>
    <t>lion &amp; daniel</t>
  </si>
  <si>
    <t>ARABIAN NIGHTS</t>
  </si>
  <si>
    <t>RimJhim-1</t>
  </si>
  <si>
    <t>RIMJHIM 1 CLASS 1</t>
  </si>
  <si>
    <t>Math Magic-1</t>
  </si>
  <si>
    <t>MATHS TEXTBOOK MATH MAGIC 1</t>
  </si>
  <si>
    <t>Math Magic-3</t>
  </si>
  <si>
    <t>APC Marigold-3</t>
  </si>
  <si>
    <t>VASANTH</t>
  </si>
  <si>
    <t>SCIENCE 6</t>
  </si>
  <si>
    <t>Marigold-1</t>
  </si>
  <si>
    <t>APC Looking Around-3</t>
  </si>
  <si>
    <t>Looking Around 3</t>
  </si>
  <si>
    <t>Honeysuckle-6</t>
  </si>
  <si>
    <t>Together With Chemistry</t>
  </si>
  <si>
    <t>OUR PAST-6</t>
  </si>
  <si>
    <t>SOCIAL AND POLTICAL LIFE 1</t>
  </si>
  <si>
    <t>SOCIAL AND POLTICAL LIFE-6</t>
  </si>
  <si>
    <t>Krithika.1 IX</t>
  </si>
  <si>
    <t>SCIENCE IX</t>
  </si>
  <si>
    <t>Moral stories</t>
  </si>
  <si>
    <t>Chatpati kahaniyan</t>
  </si>
  <si>
    <t>Sheik chilli</t>
  </si>
  <si>
    <t>Physics</t>
  </si>
  <si>
    <t>PRINCES AND PRINCESSES</t>
  </si>
  <si>
    <t>THE BURDEN'S BREAKFAST</t>
  </si>
  <si>
    <t>MISS DAIRY IS CRAZY</t>
  </si>
  <si>
    <t>CRICKET TRIVIA</t>
  </si>
  <si>
    <t>NANCY DREW- FRAMED</t>
  </si>
  <si>
    <t>NANCY DREW- THE CASE OF THE DANGEOUS SOLUTION</t>
  </si>
  <si>
    <t>HARDY BOYS-IN PLANE SIGHT</t>
  </si>
  <si>
    <t>HARDY BOYS-THE END OF FRAIL</t>
  </si>
  <si>
    <t>Looking Around 4</t>
  </si>
  <si>
    <t>Interact in english</t>
  </si>
  <si>
    <t>Marigold 2</t>
  </si>
  <si>
    <t>RimJhim-2</t>
  </si>
  <si>
    <t>Marigold-2</t>
  </si>
  <si>
    <t>Math Magic-4</t>
  </si>
  <si>
    <t>LOOKING AROUND 4(EVS)</t>
  </si>
  <si>
    <t>Marigold-4</t>
  </si>
  <si>
    <t>APC RimJhim-3</t>
  </si>
  <si>
    <t>Math Magic-2</t>
  </si>
  <si>
    <t>Math magic book 2 clss-2</t>
  </si>
  <si>
    <t>Math magic</t>
  </si>
  <si>
    <t>RimJhim-4</t>
  </si>
  <si>
    <t>A Pact With The Sun</t>
  </si>
  <si>
    <t>RUCHIRA 6</t>
  </si>
  <si>
    <t>RUCHIRA-6</t>
  </si>
  <si>
    <t>An Alien Hand Class 7</t>
  </si>
  <si>
    <t>Vasant Class 7 Part-2</t>
  </si>
  <si>
    <t>HONEYCOMB</t>
  </si>
  <si>
    <t>Life skills education class 7</t>
  </si>
  <si>
    <t>Ruchira-8</t>
  </si>
  <si>
    <t>RUCHIRA-7</t>
  </si>
  <si>
    <t>Ruchira 2nd part,class-7</t>
  </si>
  <si>
    <t>Social Science Class 7</t>
  </si>
  <si>
    <t>Our Environment</t>
  </si>
  <si>
    <t>Social science-Geography</t>
  </si>
  <si>
    <t>kshithij bhaag 2</t>
  </si>
  <si>
    <t>Examination Manner</t>
  </si>
  <si>
    <t>Physics class X</t>
  </si>
  <si>
    <t>Pradeep's fundamental Physics</t>
  </si>
  <si>
    <t>Frank CCE environmental studies class 2</t>
  </si>
  <si>
    <t>APC CBSE Syllabus Environmental Education For Us-2</t>
  </si>
  <si>
    <t>APC-Environmental Education for Us</t>
  </si>
  <si>
    <t>APC CBSE Syllabus Environmental Education For Us-4</t>
  </si>
  <si>
    <t>Numerical problems in physics</t>
  </si>
  <si>
    <t>Together With Chemistry Solution</t>
  </si>
  <si>
    <t>Bal Mahabharat Class 7</t>
  </si>
  <si>
    <t>Science Class 7</t>
  </si>
  <si>
    <t>SOCIAL AND POLTICAL LIFE-2</t>
  </si>
  <si>
    <t>Social and Political Life Class 7 Vol-2</t>
  </si>
  <si>
    <t>India and the contenporary world II</t>
  </si>
  <si>
    <t>Together Towards A Safer India Class 8</t>
  </si>
  <si>
    <t>Together Towards A Safer India</t>
  </si>
  <si>
    <t>Together towardssafer India 8</t>
  </si>
  <si>
    <t>Life skills education- VI</t>
  </si>
  <si>
    <t>LIFE SKILLS EDUCATION-6</t>
  </si>
  <si>
    <t>prathmik shiksha sey purva readyness program</t>
  </si>
  <si>
    <t>Marigold-3</t>
  </si>
  <si>
    <t>Marigold-5</t>
  </si>
  <si>
    <t>Looking around-V (EVS)</t>
  </si>
  <si>
    <t>RimJhim-5</t>
  </si>
  <si>
    <t>VASANTH BHAG 3 CLASS 8</t>
  </si>
  <si>
    <t>Our Past-3 Class 8</t>
  </si>
  <si>
    <t>Resource and development 8</t>
  </si>
  <si>
    <t>SST TB 8</t>
  </si>
  <si>
    <t>Physics part I</t>
  </si>
  <si>
    <t>Physics-1 Textbook 12</t>
  </si>
  <si>
    <t>Social Science Class 7 S.Chand</t>
  </si>
  <si>
    <t>SOCIAL SCIENCE CLASS 8</t>
  </si>
  <si>
    <t>Shiksha prad khaniya</t>
  </si>
  <si>
    <t>RAMAYAN KIE AMAR PATRA</t>
  </si>
  <si>
    <t>Computer Science</t>
  </si>
  <si>
    <t>BHARAT KI KHOJ</t>
  </si>
  <si>
    <t>Ruchira 3rd part class-8</t>
  </si>
  <si>
    <t>Samajik Vigyaan</t>
  </si>
  <si>
    <t>Humare Ateet-3</t>
  </si>
  <si>
    <t>PRITHVI HAMARA AAVAAS-6</t>
  </si>
  <si>
    <t>EVAM RAAJNITIK JEEVAN</t>
  </si>
  <si>
    <t>Samajik Evam Rajaneetik Jeevan-3 Class 8</t>
  </si>
  <si>
    <t>AYYAPPAN</t>
  </si>
  <si>
    <t>ashwini kumars</t>
  </si>
  <si>
    <t>Nosey and the fon</t>
  </si>
  <si>
    <t>mosey and the fox</t>
  </si>
  <si>
    <t>phonics discovery</t>
  </si>
  <si>
    <t>Sing with colours</t>
  </si>
  <si>
    <t>Sarah, carl and the party</t>
  </si>
  <si>
    <t>The Little Mermaid</t>
  </si>
  <si>
    <t>Shiva and Bhasmasura</t>
  </si>
  <si>
    <t>KING HARISHCHANDRA</t>
  </si>
  <si>
    <t>MORAL STORIES</t>
  </si>
  <si>
    <t>moral stories</t>
  </si>
  <si>
    <t>Hini fairy tales</t>
  </si>
  <si>
    <t>Sinbad the sailor</t>
  </si>
  <si>
    <t>The wolf</t>
  </si>
  <si>
    <t>RANA SANGA</t>
  </si>
  <si>
    <t xml:space="preserve">Folk tales of Himachal Pradesh </t>
  </si>
  <si>
    <t>The Treasure Of Tails</t>
  </si>
  <si>
    <t>Tales of Revolutionaries</t>
  </si>
  <si>
    <t>Sonali's Friend</t>
  </si>
  <si>
    <t>The gujjars</t>
  </si>
  <si>
    <t>Dusty the dachshund</t>
  </si>
  <si>
    <t>eight 'o' ciock tales</t>
  </si>
  <si>
    <t>Kach Kach</t>
  </si>
  <si>
    <t>Indadhanush aur bindi</t>
  </si>
  <si>
    <t>Sonali ka mithr</t>
  </si>
  <si>
    <t>Manmohak Kahaniya</t>
  </si>
  <si>
    <t>Bhogmin ki kahaniyam</t>
  </si>
  <si>
    <t>SAI BABA</t>
  </si>
  <si>
    <t>BETAL</t>
  </si>
  <si>
    <t>Rajkumari ki kahani</t>
  </si>
  <si>
    <t>Snow white and seven drawfs</t>
  </si>
  <si>
    <t>Sleeping beauty</t>
  </si>
  <si>
    <t>Snow white</t>
  </si>
  <si>
    <t>Rumpelstiltskin</t>
  </si>
  <si>
    <t>Rajkumari aur mendak</t>
  </si>
  <si>
    <t>Cinderella</t>
  </si>
  <si>
    <t>cinderella</t>
  </si>
  <si>
    <t>Jootein Wali Billi</t>
  </si>
  <si>
    <t>The Voyage of the Dawn Trader</t>
  </si>
  <si>
    <t>INTERNATIONAL MATHS OLYMPIAD WORKBOOK</t>
  </si>
  <si>
    <t>vasanth bhaag I</t>
  </si>
  <si>
    <t>Computer Science[Together with]-12th</t>
  </si>
  <si>
    <t>Leaming Science-Part II</t>
  </si>
  <si>
    <t>BAAL RAMKATHA-6</t>
  </si>
  <si>
    <t>The Horse and His Boy</t>
  </si>
  <si>
    <t>Allistair Mac Lean</t>
  </si>
  <si>
    <t>Dada Dadi ki kahaniyam</t>
  </si>
  <si>
    <t>Dada -dadi ki kahaniya</t>
  </si>
  <si>
    <t>Dada-Dadi ki kahani</t>
  </si>
  <si>
    <t>Dada dadi ki kahaniyam</t>
  </si>
  <si>
    <t>Dada Dadi ki Kahaniya</t>
  </si>
  <si>
    <t>Grandma's stories</t>
  </si>
  <si>
    <t>Grandma's storie's</t>
  </si>
  <si>
    <t>Panchtantra stories</t>
  </si>
  <si>
    <t>PANCHATANTRA STORIES</t>
  </si>
  <si>
    <t>The bundle of sticks</t>
  </si>
  <si>
    <t>Dora goes to school</t>
  </si>
  <si>
    <t>Lovely stories</t>
  </si>
  <si>
    <t>ONCE UPON A TIME</t>
  </si>
  <si>
    <t>Once upon a time</t>
  </si>
  <si>
    <t>Vicky's once upon a time</t>
  </si>
  <si>
    <t>Alibaba and forty thives</t>
  </si>
  <si>
    <t>Rapunzel</t>
  </si>
  <si>
    <t>Fox and the little hen</t>
  </si>
  <si>
    <t>Aladdin</t>
  </si>
  <si>
    <t>Rapunzuel</t>
  </si>
  <si>
    <t>3 in one moral stories</t>
  </si>
  <si>
    <t>The horse &amp; the donkey</t>
  </si>
  <si>
    <t>moral stories sparrow</t>
  </si>
  <si>
    <t>Classical Tales</t>
  </si>
  <si>
    <t>ENVIRONMENTAL EDUCATION</t>
  </si>
  <si>
    <t>ENVIRONMENTAL EDUCATION CLASS 8</t>
  </si>
  <si>
    <t>BRAIN</t>
  </si>
  <si>
    <t>FUTURE ENERGY</t>
  </si>
  <si>
    <t>FINDING OUT MORE</t>
  </si>
  <si>
    <t>Oceans</t>
  </si>
  <si>
    <t>LIVING THINGS</t>
  </si>
  <si>
    <t>Alice In Wonderland</t>
  </si>
  <si>
    <t>Grate Fairy Tales</t>
  </si>
  <si>
    <t>King Of OZ</t>
  </si>
  <si>
    <t>treasure of tales</t>
  </si>
  <si>
    <t>Treasure Of Tails</t>
  </si>
  <si>
    <t>Oli baba&amp; the forty thieves</t>
  </si>
  <si>
    <t>Ali baba and the forty thieves</t>
  </si>
  <si>
    <t>Weaver and seven ghosts</t>
  </si>
  <si>
    <t>MAHATMA GANDHI</t>
  </si>
  <si>
    <t>Chandragupta Maurya</t>
  </si>
  <si>
    <t>MIRABAI</t>
  </si>
  <si>
    <t>Rama</t>
  </si>
  <si>
    <t>Rana pratap</t>
  </si>
  <si>
    <t>MAD FACT</t>
  </si>
  <si>
    <t>How to make cartoons</t>
  </si>
  <si>
    <t>Literature Reader</t>
  </si>
  <si>
    <t>HOW TO MAKE CARTOONS</t>
  </si>
  <si>
    <t>English Reading cards</t>
  </si>
  <si>
    <t>Grandma tell me a story</t>
  </si>
  <si>
    <t>THE CLEVER MONKEY</t>
  </si>
  <si>
    <t>Folk tales Of Karnataka</t>
  </si>
  <si>
    <t>Folktales of Mizoram</t>
  </si>
  <si>
    <t>Folk tales of karnataka</t>
  </si>
  <si>
    <t>folk tales of gujarat</t>
  </si>
  <si>
    <t>Folk tales of germany</t>
  </si>
  <si>
    <t>GERMANY</t>
  </si>
  <si>
    <t>Folk tales of china</t>
  </si>
  <si>
    <t>Mystery of the missing gifts</t>
  </si>
  <si>
    <t>Andher nagari</t>
  </si>
  <si>
    <t>THE HIDDEN TREASURE</t>
  </si>
  <si>
    <t>The pig and the dog</t>
  </si>
  <si>
    <t>Animal tales</t>
  </si>
  <si>
    <t>The brahmen and the goat</t>
  </si>
  <si>
    <t>THE LAST GRAM</t>
  </si>
  <si>
    <t>THE MOUSE MERCHANT</t>
  </si>
  <si>
    <t>GOLDEN SAND</t>
  </si>
  <si>
    <t>The priceless gem</t>
  </si>
  <si>
    <t>Amar chitra katha</t>
  </si>
  <si>
    <t>Gopal and the cowherd</t>
  </si>
  <si>
    <t>Learning by doing</t>
  </si>
  <si>
    <t>Formative assessment</t>
  </si>
  <si>
    <t>Formative assessment x</t>
  </si>
  <si>
    <t>MCB English</t>
  </si>
  <si>
    <t>English main course book</t>
  </si>
  <si>
    <t>English literature reader</t>
  </si>
  <si>
    <t>Life Skills Education Class 7</t>
  </si>
  <si>
    <t>LIFE SKILLS EDUCATION</t>
  </si>
  <si>
    <t>Life Skills Education 8</t>
  </si>
  <si>
    <t>Life Skills Education Class 8</t>
  </si>
  <si>
    <t>Anatomy and Physiology</t>
  </si>
  <si>
    <t>OUR PAST 3 PART 2 CLASS 8</t>
  </si>
  <si>
    <t>Alice in wonderland</t>
  </si>
  <si>
    <t>Modern Chemistry</t>
  </si>
  <si>
    <t>Practical Physics</t>
  </si>
  <si>
    <t>English work book</t>
  </si>
  <si>
    <t>English workbook</t>
  </si>
  <si>
    <t>Botany (Arihant)</t>
  </si>
  <si>
    <t>Biology (Arihant)</t>
  </si>
  <si>
    <t>The Adventures of Robin Hood</t>
  </si>
  <si>
    <t>Tales of krishna</t>
  </si>
  <si>
    <t>Great Indian Emperors</t>
  </si>
  <si>
    <t>Dasha avatar</t>
  </si>
  <si>
    <t>Jesus christ</t>
  </si>
  <si>
    <t>Bihari</t>
  </si>
  <si>
    <t>archie</t>
  </si>
  <si>
    <t>S.Radhakrishnan</t>
  </si>
  <si>
    <t>Treasure Island</t>
  </si>
  <si>
    <t>HEIDI</t>
  </si>
  <si>
    <t>Mahatma Gandhi</t>
  </si>
  <si>
    <t>Black Beauty</t>
  </si>
  <si>
    <t>Huckle Berry Finn</t>
  </si>
  <si>
    <t>The Hunchback of Notre Dame</t>
  </si>
  <si>
    <t>Robin hood</t>
  </si>
  <si>
    <t>Pocahontas</t>
  </si>
  <si>
    <t>Kaayakalp</t>
  </si>
  <si>
    <t>Pictorial stories for children</t>
  </si>
  <si>
    <t>Stories of Lord Shiva</t>
  </si>
  <si>
    <t>Abhyas Pustika (RimJhim-1)</t>
  </si>
  <si>
    <t>Abhyas Pustika-4 (RimJhim-1)</t>
  </si>
  <si>
    <t>APC workbook Marigold-1</t>
  </si>
  <si>
    <t>APC Workbook Marigold-1</t>
  </si>
  <si>
    <t>APC Workbook MathMagic-1</t>
  </si>
  <si>
    <t>APC-Let's Look Around and Learn-1</t>
  </si>
  <si>
    <t>APC-Let's Look Around and Learn-2</t>
  </si>
  <si>
    <t>APC-Let's Look Around and Learn</t>
  </si>
  <si>
    <t>Abhyas Pustika RimJhim-2</t>
  </si>
  <si>
    <t>Abyash-pusthaka-(rimjim-2):APC</t>
  </si>
  <si>
    <t>Class 2nd workbook marigold</t>
  </si>
  <si>
    <t>APC-Math-magic:workbook</t>
  </si>
  <si>
    <t>Abhyas pustika RimJhim-4</t>
  </si>
  <si>
    <t>Class 4 Workbook Marigold</t>
  </si>
  <si>
    <t>Workbook Mathmagic APC-4</t>
  </si>
  <si>
    <t>APC-Looking Around-4</t>
  </si>
  <si>
    <t>Abhyas Pustika 5-APC</t>
  </si>
  <si>
    <t>Abhyas Pustika RimJhim-5</t>
  </si>
  <si>
    <t>APC- Marigold Workbook-5</t>
  </si>
  <si>
    <t>APC Workbook Marigold-5</t>
  </si>
  <si>
    <t>Workbook Mathmagic APC-5</t>
  </si>
  <si>
    <t>APC Looking Around-5</t>
  </si>
  <si>
    <t>Famous indien Folktales</t>
  </si>
  <si>
    <t>Akbar. A visionary monarch</t>
  </si>
  <si>
    <t>The historic city of delhi</t>
  </si>
  <si>
    <t>Raja Raja Chozhan</t>
  </si>
  <si>
    <t>Tulsidas</t>
  </si>
  <si>
    <t>The mughal court</t>
  </si>
  <si>
    <t>Ramayana</t>
  </si>
  <si>
    <t>All in one -English</t>
  </si>
  <si>
    <t>Tiny tot best stories of fairy tales</t>
  </si>
  <si>
    <t>Stories of Birbal</t>
  </si>
  <si>
    <t>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</si>
</sst>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0" fontId="4" fillId="0" borderId="1" xfId="0" applyFont="1" applyBorder="1" applyAlignment="1"/>
    <xf numFmtId="0" fontId="2" fillId="0" borderId="1" xfId="0" applyFont="1" applyBorder="1"/>
    <xf numFmtId="1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left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/>
    <xf numFmtId="0" fontId="0" fillId="0" borderId="0" xfId="0" applyAlignment="1">
      <alignment horizontal="center"/>
    </xf>
    <xf numFmtId="0" fontId="0" fillId="2" borderId="0" xfId="0" applyFill="1" applyAlignme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164" fontId="7" fillId="0" borderId="1" xfId="0" applyNumberFormat="1" applyFont="1" applyBorder="1" applyAlignment="1">
      <alignment horizontal="center"/>
    </xf>
    <xf numFmtId="164" fontId="7" fillId="0" borderId="1" xfId="0" applyNumberFormat="1" applyFont="1" applyBorder="1"/>
    <xf numFmtId="0" fontId="7" fillId="2" borderId="1" xfId="0" applyFont="1" applyFill="1" applyBorder="1" applyAlignment="1">
      <alignment horizontal="center"/>
    </xf>
    <xf numFmtId="1" fontId="7" fillId="0" borderId="1" xfId="0" applyNumberFormat="1" applyFont="1" applyBorder="1"/>
    <xf numFmtId="1" fontId="7" fillId="0" borderId="1" xfId="0" applyNumberFormat="1" applyFont="1" applyBorder="1" applyAlignment="1">
      <alignment horizontal="center"/>
    </xf>
    <xf numFmtId="0" fontId="0" fillId="0" borderId="1" xfId="0" applyBorder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2" xfId="0" applyFont="1" applyBorder="1" applyAlignment="1">
      <alignment horizontal="left" wrapText="1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1" fontId="7" fillId="0" borderId="7" xfId="0" applyNumberFormat="1" applyFon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left"/>
    </xf>
    <xf numFmtId="1" fontId="7" fillId="0" borderId="4" xfId="0" applyNumberFormat="1" applyFont="1" applyBorder="1" applyAlignment="1">
      <alignment horizontal="left"/>
    </xf>
    <xf numFmtId="1" fontId="7" fillId="0" borderId="5" xfId="0" applyNumberFormat="1" applyFont="1" applyBorder="1" applyAlignment="1">
      <alignment horizontal="left"/>
    </xf>
    <xf numFmtId="1" fontId="7" fillId="0" borderId="6" xfId="0" applyNumberFormat="1" applyFont="1" applyBorder="1" applyAlignment="1">
      <alignment horizontal="left"/>
    </xf>
    <xf numFmtId="1" fontId="7" fillId="0" borderId="7" xfId="0" applyNumberFormat="1" applyFont="1" applyBorder="1" applyAlignment="1">
      <alignment horizontal="left"/>
    </xf>
    <xf numFmtId="1" fontId="7" fillId="0" borderId="8" xfId="0" applyNumberFormat="1" applyFont="1" applyBorder="1" applyAlignment="1">
      <alignment horizontal="left"/>
    </xf>
    <xf numFmtId="1" fontId="8" fillId="0" borderId="3" xfId="0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1" fontId="8" fillId="0" borderId="8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left"/>
    </xf>
    <xf numFmtId="1" fontId="8" fillId="0" borderId="4" xfId="0" applyNumberFormat="1" applyFont="1" applyBorder="1" applyAlignment="1">
      <alignment horizontal="left"/>
    </xf>
    <xf numFmtId="1" fontId="8" fillId="0" borderId="5" xfId="0" applyNumberFormat="1" applyFont="1" applyBorder="1" applyAlignment="1">
      <alignment horizontal="left"/>
    </xf>
    <xf numFmtId="1" fontId="8" fillId="0" borderId="6" xfId="0" applyNumberFormat="1" applyFont="1" applyBorder="1" applyAlignment="1">
      <alignment horizontal="left"/>
    </xf>
    <xf numFmtId="1" fontId="8" fillId="0" borderId="7" xfId="0" applyNumberFormat="1" applyFont="1" applyBorder="1" applyAlignment="1">
      <alignment horizontal="left"/>
    </xf>
    <xf numFmtId="1" fontId="8" fillId="0" borderId="8" xfId="0" applyNumberFormat="1" applyFont="1" applyBorder="1" applyAlignment="1">
      <alignment horizontal="left"/>
    </xf>
  </cellXfs>
  <cellStyles count="1">
    <cellStyle name="Normal" xfId="0" builtinId="0"/>
  </cellStyles>
  <dxfs count="6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3"/>
  <sheetViews>
    <sheetView workbookViewId="0">
      <selection activeCell="C23" sqref="C23"/>
    </sheetView>
  </sheetViews>
  <sheetFormatPr defaultRowHeight="15" x14ac:dyDescent="0.25"/>
  <cols>
    <col min="1" max="1" width="4.28515625" style="17" customWidth="1"/>
    <col min="2" max="2" width="12.7109375" style="17" customWidth="1"/>
    <col min="3" max="3" width="28.42578125" customWidth="1"/>
    <col min="4" max="4" width="10.140625" style="18" customWidth="1"/>
    <col min="5" max="5" width="0.140625" style="18" hidden="1" customWidth="1"/>
    <col min="6" max="6" width="5.28515625" style="18" hidden="1" customWidth="1"/>
    <col min="7" max="7" width="10.28515625" style="18" customWidth="1"/>
    <col min="8" max="8" width="16" customWidth="1"/>
    <col min="9" max="9" width="8" customWidth="1"/>
    <col min="10" max="10" width="5.42578125" style="18" customWidth="1"/>
    <col min="11" max="11" width="7.85546875" style="18" customWidth="1"/>
    <col min="12" max="12" width="11.7109375" style="18" customWidth="1"/>
    <col min="13" max="13" width="25" style="18" customWidth="1"/>
  </cols>
  <sheetData>
    <row r="1" spans="1:13" ht="12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2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40.5" customHeight="1" x14ac:dyDescent="0.25">
      <c r="A3" s="2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spans="1:13" ht="12" customHeight="1" x14ac:dyDescent="0.25">
      <c r="A4" s="4">
        <v>1</v>
      </c>
      <c r="B4" s="5">
        <v>300</v>
      </c>
      <c r="C4" s="6" t="s">
        <v>15</v>
      </c>
      <c r="D4" s="6">
        <v>6</v>
      </c>
      <c r="E4" s="4">
        <v>0</v>
      </c>
      <c r="F4" s="7">
        <f t="shared" ref="F4" si="0">(D4*E4)</f>
        <v>0</v>
      </c>
      <c r="G4" s="4">
        <v>4</v>
      </c>
      <c r="H4" s="8">
        <f>D4*0.95</f>
        <v>5.6999999999999993</v>
      </c>
      <c r="I4" s="8">
        <f t="shared" ref="I4:I67" si="1">(D4-H4)</f>
        <v>0.30000000000000071</v>
      </c>
      <c r="J4" s="7">
        <f t="shared" ref="J4:J67" si="2">(L4-K4)</f>
        <v>44</v>
      </c>
      <c r="K4" s="5">
        <v>1982</v>
      </c>
      <c r="L4" s="5">
        <v>2026</v>
      </c>
      <c r="M4" s="7" t="s">
        <v>16</v>
      </c>
    </row>
    <row r="5" spans="1:13" ht="12" customHeight="1" x14ac:dyDescent="0.25">
      <c r="A5" s="4">
        <v>2</v>
      </c>
      <c r="B5" s="5">
        <v>384</v>
      </c>
      <c r="C5" s="6" t="s">
        <v>17</v>
      </c>
      <c r="D5" s="6">
        <v>6</v>
      </c>
      <c r="E5" s="4"/>
      <c r="F5" s="7"/>
      <c r="G5" s="4">
        <v>4</v>
      </c>
      <c r="H5" s="8">
        <f t="shared" ref="H5:H68" si="3">D5*0.95</f>
        <v>5.6999999999999993</v>
      </c>
      <c r="I5" s="8">
        <f t="shared" si="1"/>
        <v>0.30000000000000071</v>
      </c>
      <c r="J5" s="7">
        <f t="shared" si="2"/>
        <v>44</v>
      </c>
      <c r="K5" s="5">
        <v>1982</v>
      </c>
      <c r="L5" s="5">
        <v>2026</v>
      </c>
      <c r="M5" s="7" t="s">
        <v>16</v>
      </c>
    </row>
    <row r="6" spans="1:13" ht="12" customHeight="1" x14ac:dyDescent="0.25">
      <c r="A6" s="4">
        <v>3</v>
      </c>
      <c r="B6" s="9">
        <v>385</v>
      </c>
      <c r="C6" s="9" t="s">
        <v>18</v>
      </c>
      <c r="D6" s="9">
        <v>5</v>
      </c>
      <c r="E6" s="4"/>
      <c r="F6" s="7"/>
      <c r="G6" s="4">
        <v>4</v>
      </c>
      <c r="H6" s="8">
        <f t="shared" si="3"/>
        <v>4.75</v>
      </c>
      <c r="I6" s="8">
        <f t="shared" si="1"/>
        <v>0.25</v>
      </c>
      <c r="J6" s="7">
        <f t="shared" si="2"/>
        <v>41</v>
      </c>
      <c r="K6" s="9">
        <v>1985</v>
      </c>
      <c r="L6" s="5">
        <v>2026</v>
      </c>
      <c r="M6" s="7" t="s">
        <v>16</v>
      </c>
    </row>
    <row r="7" spans="1:13" ht="12" customHeight="1" x14ac:dyDescent="0.25">
      <c r="A7" s="4">
        <v>4</v>
      </c>
      <c r="B7" s="5">
        <v>390</v>
      </c>
      <c r="C7" s="6" t="s">
        <v>19</v>
      </c>
      <c r="D7" s="6">
        <v>4</v>
      </c>
      <c r="E7" s="4"/>
      <c r="F7" s="7"/>
      <c r="G7" s="4">
        <v>4</v>
      </c>
      <c r="H7" s="8">
        <f t="shared" si="3"/>
        <v>3.8</v>
      </c>
      <c r="I7" s="8">
        <f t="shared" si="1"/>
        <v>0.20000000000000018</v>
      </c>
      <c r="J7" s="7">
        <f t="shared" si="2"/>
        <v>44</v>
      </c>
      <c r="K7" s="6">
        <v>1982</v>
      </c>
      <c r="L7" s="5">
        <v>2026</v>
      </c>
      <c r="M7" s="7" t="s">
        <v>16</v>
      </c>
    </row>
    <row r="8" spans="1:13" ht="12" customHeight="1" x14ac:dyDescent="0.25">
      <c r="A8" s="4">
        <v>5</v>
      </c>
      <c r="B8" s="9">
        <v>391</v>
      </c>
      <c r="C8" s="9" t="s">
        <v>20</v>
      </c>
      <c r="D8" s="9">
        <v>5</v>
      </c>
      <c r="E8" s="4"/>
      <c r="F8" s="7"/>
      <c r="G8" s="4">
        <v>4</v>
      </c>
      <c r="H8" s="8">
        <f t="shared" si="3"/>
        <v>4.75</v>
      </c>
      <c r="I8" s="8">
        <f t="shared" si="1"/>
        <v>0.25</v>
      </c>
      <c r="J8" s="7">
        <f t="shared" si="2"/>
        <v>44</v>
      </c>
      <c r="K8" s="9">
        <v>1982</v>
      </c>
      <c r="L8" s="5">
        <v>2026</v>
      </c>
      <c r="M8" s="7" t="s">
        <v>16</v>
      </c>
    </row>
    <row r="9" spans="1:13" ht="12" customHeight="1" x14ac:dyDescent="0.25">
      <c r="A9" s="4">
        <v>6</v>
      </c>
      <c r="B9" s="9">
        <v>392</v>
      </c>
      <c r="C9" s="9" t="s">
        <v>21</v>
      </c>
      <c r="D9" s="9">
        <v>4</v>
      </c>
      <c r="E9" s="4"/>
      <c r="F9" s="7"/>
      <c r="G9" s="4">
        <v>4</v>
      </c>
      <c r="H9" s="8">
        <f t="shared" si="3"/>
        <v>3.8</v>
      </c>
      <c r="I9" s="8">
        <f t="shared" si="1"/>
        <v>0.20000000000000018</v>
      </c>
      <c r="J9" s="7">
        <f t="shared" si="2"/>
        <v>44</v>
      </c>
      <c r="K9" s="9">
        <v>1982</v>
      </c>
      <c r="L9" s="5">
        <v>2026</v>
      </c>
      <c r="M9" s="7" t="s">
        <v>16</v>
      </c>
    </row>
    <row r="10" spans="1:13" ht="12" customHeight="1" x14ac:dyDescent="0.25">
      <c r="A10" s="4">
        <v>7</v>
      </c>
      <c r="B10" s="5">
        <v>470</v>
      </c>
      <c r="C10" s="6" t="s">
        <v>22</v>
      </c>
      <c r="D10" s="5">
        <v>25</v>
      </c>
      <c r="E10" s="4"/>
      <c r="F10" s="7"/>
      <c r="G10" s="4">
        <v>4</v>
      </c>
      <c r="H10" s="8">
        <f t="shared" si="3"/>
        <v>23.75</v>
      </c>
      <c r="I10" s="8">
        <f t="shared" si="1"/>
        <v>1.25</v>
      </c>
      <c r="J10" s="7">
        <f t="shared" si="2"/>
        <v>44</v>
      </c>
      <c r="K10" s="5">
        <v>1982</v>
      </c>
      <c r="L10" s="5">
        <v>2026</v>
      </c>
      <c r="M10" s="7" t="s">
        <v>16</v>
      </c>
    </row>
    <row r="11" spans="1:13" ht="12" customHeight="1" x14ac:dyDescent="0.25">
      <c r="A11" s="4">
        <v>8</v>
      </c>
      <c r="B11" s="5">
        <v>503</v>
      </c>
      <c r="C11" s="6" t="s">
        <v>23</v>
      </c>
      <c r="D11" s="5">
        <v>4</v>
      </c>
      <c r="E11" s="4"/>
      <c r="F11" s="7"/>
      <c r="G11" s="4">
        <v>4</v>
      </c>
      <c r="H11" s="8">
        <f t="shared" si="3"/>
        <v>3.8</v>
      </c>
      <c r="I11" s="8">
        <f t="shared" si="1"/>
        <v>0.20000000000000018</v>
      </c>
      <c r="J11" s="7">
        <f t="shared" si="2"/>
        <v>44</v>
      </c>
      <c r="K11" s="5">
        <v>1982</v>
      </c>
      <c r="L11" s="5">
        <v>2026</v>
      </c>
      <c r="M11" s="7" t="s">
        <v>16</v>
      </c>
    </row>
    <row r="12" spans="1:13" ht="12" customHeight="1" x14ac:dyDescent="0.25">
      <c r="A12" s="4">
        <v>9</v>
      </c>
      <c r="B12" s="9">
        <v>567</v>
      </c>
      <c r="C12" s="9" t="s">
        <v>24</v>
      </c>
      <c r="D12" s="9">
        <v>4</v>
      </c>
      <c r="E12" s="4"/>
      <c r="F12" s="7"/>
      <c r="G12" s="4">
        <v>4</v>
      </c>
      <c r="H12" s="8">
        <f t="shared" si="3"/>
        <v>3.8</v>
      </c>
      <c r="I12" s="8">
        <f t="shared" si="1"/>
        <v>0.20000000000000018</v>
      </c>
      <c r="J12" s="7">
        <f t="shared" si="2"/>
        <v>45</v>
      </c>
      <c r="K12" s="9">
        <v>1981</v>
      </c>
      <c r="L12" s="5">
        <v>2026</v>
      </c>
      <c r="M12" s="7" t="s">
        <v>16</v>
      </c>
    </row>
    <row r="13" spans="1:13" ht="12" customHeight="1" x14ac:dyDescent="0.25">
      <c r="A13" s="4">
        <v>10</v>
      </c>
      <c r="B13" s="9">
        <v>602</v>
      </c>
      <c r="C13" s="9" t="s">
        <v>25</v>
      </c>
      <c r="D13" s="9">
        <v>4</v>
      </c>
      <c r="E13" s="4"/>
      <c r="F13" s="7"/>
      <c r="G13" s="4">
        <v>4</v>
      </c>
      <c r="H13" s="8">
        <f t="shared" si="3"/>
        <v>3.8</v>
      </c>
      <c r="I13" s="8">
        <f t="shared" si="1"/>
        <v>0.20000000000000018</v>
      </c>
      <c r="J13" s="7">
        <f t="shared" si="2"/>
        <v>45</v>
      </c>
      <c r="K13" s="9">
        <v>1981</v>
      </c>
      <c r="L13" s="5">
        <v>2026</v>
      </c>
      <c r="M13" s="7" t="s">
        <v>16</v>
      </c>
    </row>
    <row r="14" spans="1:13" ht="12" customHeight="1" x14ac:dyDescent="0.25">
      <c r="A14" s="4">
        <v>11</v>
      </c>
      <c r="B14" s="9">
        <v>603</v>
      </c>
      <c r="C14" s="9" t="s">
        <v>26</v>
      </c>
      <c r="D14" s="9">
        <v>3.5</v>
      </c>
      <c r="E14" s="4"/>
      <c r="F14" s="7"/>
      <c r="G14" s="4">
        <v>4</v>
      </c>
      <c r="H14" s="8">
        <f t="shared" si="3"/>
        <v>3.3249999999999997</v>
      </c>
      <c r="I14" s="8">
        <f t="shared" si="1"/>
        <v>0.17500000000000027</v>
      </c>
      <c r="J14" s="7">
        <f t="shared" si="2"/>
        <v>46</v>
      </c>
      <c r="K14" s="9">
        <v>1980</v>
      </c>
      <c r="L14" s="5">
        <v>2026</v>
      </c>
      <c r="M14" s="7" t="s">
        <v>16</v>
      </c>
    </row>
    <row r="15" spans="1:13" ht="12" customHeight="1" x14ac:dyDescent="0.25">
      <c r="A15" s="4">
        <v>12</v>
      </c>
      <c r="B15" s="5">
        <v>674</v>
      </c>
      <c r="C15" s="6" t="s">
        <v>27</v>
      </c>
      <c r="D15" s="6">
        <v>5</v>
      </c>
      <c r="E15" s="4"/>
      <c r="F15" s="7"/>
      <c r="G15" s="4">
        <v>4</v>
      </c>
      <c r="H15" s="8">
        <f t="shared" si="3"/>
        <v>4.75</v>
      </c>
      <c r="I15" s="8">
        <f t="shared" si="1"/>
        <v>0.25</v>
      </c>
      <c r="J15" s="7">
        <f t="shared" si="2"/>
        <v>45</v>
      </c>
      <c r="K15" s="6">
        <v>1981</v>
      </c>
      <c r="L15" s="5">
        <v>2026</v>
      </c>
      <c r="M15" s="7" t="s">
        <v>16</v>
      </c>
    </row>
    <row r="16" spans="1:13" ht="12" customHeight="1" x14ac:dyDescent="0.25">
      <c r="A16" s="4">
        <v>13</v>
      </c>
      <c r="B16" s="5">
        <v>679</v>
      </c>
      <c r="C16" s="6" t="s">
        <v>28</v>
      </c>
      <c r="D16" s="5">
        <v>10</v>
      </c>
      <c r="E16" s="4"/>
      <c r="F16" s="7"/>
      <c r="G16" s="4">
        <v>4</v>
      </c>
      <c r="H16" s="8">
        <f t="shared" si="3"/>
        <v>9.5</v>
      </c>
      <c r="I16" s="8">
        <f t="shared" si="1"/>
        <v>0.5</v>
      </c>
      <c r="J16" s="7">
        <f t="shared" si="2"/>
        <v>45</v>
      </c>
      <c r="K16" s="5">
        <v>1981</v>
      </c>
      <c r="L16" s="5">
        <v>2026</v>
      </c>
      <c r="M16" s="7" t="s">
        <v>16</v>
      </c>
    </row>
    <row r="17" spans="1:13" ht="12" customHeight="1" x14ac:dyDescent="0.25">
      <c r="A17" s="4">
        <v>14</v>
      </c>
      <c r="B17" s="5">
        <v>852</v>
      </c>
      <c r="C17" s="6" t="s">
        <v>29</v>
      </c>
      <c r="D17" s="6">
        <v>2.25</v>
      </c>
      <c r="E17" s="4"/>
      <c r="F17" s="7"/>
      <c r="G17" s="4">
        <v>4</v>
      </c>
      <c r="H17" s="8">
        <f t="shared" si="3"/>
        <v>2.1374999999999997</v>
      </c>
      <c r="I17" s="8">
        <f t="shared" si="1"/>
        <v>0.11250000000000027</v>
      </c>
      <c r="J17" s="7">
        <f t="shared" si="2"/>
        <v>46</v>
      </c>
      <c r="K17" s="5">
        <v>1980</v>
      </c>
      <c r="L17" s="5">
        <v>2026</v>
      </c>
      <c r="M17" s="7" t="s">
        <v>16</v>
      </c>
    </row>
    <row r="18" spans="1:13" ht="12" customHeight="1" x14ac:dyDescent="0.25">
      <c r="A18" s="4">
        <v>15</v>
      </c>
      <c r="B18" s="5">
        <v>918</v>
      </c>
      <c r="C18" s="6" t="s">
        <v>30</v>
      </c>
      <c r="D18" s="5">
        <v>5</v>
      </c>
      <c r="E18" s="4"/>
      <c r="F18" s="7"/>
      <c r="G18" s="4">
        <v>4</v>
      </c>
      <c r="H18" s="8">
        <f t="shared" si="3"/>
        <v>4.75</v>
      </c>
      <c r="I18" s="8">
        <f t="shared" si="1"/>
        <v>0.25</v>
      </c>
      <c r="J18" s="7">
        <f t="shared" si="2"/>
        <v>44</v>
      </c>
      <c r="K18" s="5">
        <v>1982</v>
      </c>
      <c r="L18" s="5">
        <v>2026</v>
      </c>
      <c r="M18" s="7" t="s">
        <v>16</v>
      </c>
    </row>
    <row r="19" spans="1:13" ht="12" customHeight="1" x14ac:dyDescent="0.25">
      <c r="A19" s="4">
        <v>16</v>
      </c>
      <c r="B19" s="5">
        <v>1149</v>
      </c>
      <c r="C19" s="6" t="s">
        <v>31</v>
      </c>
      <c r="D19" s="5">
        <v>4</v>
      </c>
      <c r="E19" s="4"/>
      <c r="F19" s="7"/>
      <c r="G19" s="4">
        <v>4</v>
      </c>
      <c r="H19" s="8">
        <f t="shared" si="3"/>
        <v>3.8</v>
      </c>
      <c r="I19" s="8">
        <f t="shared" si="1"/>
        <v>0.20000000000000018</v>
      </c>
      <c r="J19" s="7">
        <f t="shared" si="2"/>
        <v>44</v>
      </c>
      <c r="K19" s="5">
        <v>1982</v>
      </c>
      <c r="L19" s="5">
        <v>2026</v>
      </c>
      <c r="M19" s="7" t="s">
        <v>16</v>
      </c>
    </row>
    <row r="20" spans="1:13" ht="12" customHeight="1" x14ac:dyDescent="0.25">
      <c r="A20" s="4">
        <v>17</v>
      </c>
      <c r="B20" s="5">
        <v>1311</v>
      </c>
      <c r="C20" s="6" t="s">
        <v>32</v>
      </c>
      <c r="D20" s="5">
        <v>5.85</v>
      </c>
      <c r="E20" s="4"/>
      <c r="F20" s="7"/>
      <c r="G20" s="4">
        <v>4</v>
      </c>
      <c r="H20" s="8">
        <f t="shared" si="3"/>
        <v>5.5574999999999992</v>
      </c>
      <c r="I20" s="8">
        <f t="shared" si="1"/>
        <v>0.29250000000000043</v>
      </c>
      <c r="J20" s="7">
        <f t="shared" si="2"/>
        <v>37</v>
      </c>
      <c r="K20" s="5">
        <v>1989</v>
      </c>
      <c r="L20" s="5">
        <v>2026</v>
      </c>
      <c r="M20" s="7" t="s">
        <v>16</v>
      </c>
    </row>
    <row r="21" spans="1:13" ht="12" customHeight="1" x14ac:dyDescent="0.25">
      <c r="A21" s="4">
        <v>18</v>
      </c>
      <c r="B21" s="5">
        <v>1548</v>
      </c>
      <c r="C21" s="6" t="s">
        <v>33</v>
      </c>
      <c r="D21" s="5">
        <v>20</v>
      </c>
      <c r="E21" s="4"/>
      <c r="F21" s="7"/>
      <c r="G21" s="4">
        <v>4</v>
      </c>
      <c r="H21" s="8">
        <f t="shared" si="3"/>
        <v>19</v>
      </c>
      <c r="I21" s="8">
        <f t="shared" si="1"/>
        <v>1</v>
      </c>
      <c r="J21" s="7">
        <f t="shared" si="2"/>
        <v>44</v>
      </c>
      <c r="K21" s="5">
        <v>1982</v>
      </c>
      <c r="L21" s="5">
        <v>2026</v>
      </c>
      <c r="M21" s="7" t="s">
        <v>16</v>
      </c>
    </row>
    <row r="22" spans="1:13" ht="12" customHeight="1" x14ac:dyDescent="0.25">
      <c r="A22" s="4">
        <v>19</v>
      </c>
      <c r="B22" s="5">
        <v>1557</v>
      </c>
      <c r="C22" s="6" t="s">
        <v>34</v>
      </c>
      <c r="D22" s="5">
        <v>20</v>
      </c>
      <c r="E22" s="4"/>
      <c r="F22" s="7"/>
      <c r="G22" s="4">
        <v>4</v>
      </c>
      <c r="H22" s="8">
        <f t="shared" si="3"/>
        <v>19</v>
      </c>
      <c r="I22" s="8">
        <f t="shared" si="1"/>
        <v>1</v>
      </c>
      <c r="J22" s="7">
        <f t="shared" si="2"/>
        <v>44</v>
      </c>
      <c r="K22" s="5">
        <v>1982</v>
      </c>
      <c r="L22" s="5">
        <v>2026</v>
      </c>
      <c r="M22" s="7" t="s">
        <v>16</v>
      </c>
    </row>
    <row r="23" spans="1:13" ht="12" customHeight="1" x14ac:dyDescent="0.25">
      <c r="A23" s="4">
        <v>20</v>
      </c>
      <c r="B23" s="6">
        <v>1613</v>
      </c>
      <c r="C23" s="6" t="s">
        <v>35</v>
      </c>
      <c r="D23" s="6">
        <v>18</v>
      </c>
      <c r="E23" s="4"/>
      <c r="F23" s="7"/>
      <c r="G23" s="4">
        <v>4</v>
      </c>
      <c r="H23" s="8">
        <f t="shared" si="3"/>
        <v>17.099999999999998</v>
      </c>
      <c r="I23" s="8">
        <f t="shared" si="1"/>
        <v>0.90000000000000213</v>
      </c>
      <c r="J23" s="7">
        <f t="shared" si="2"/>
        <v>44</v>
      </c>
      <c r="K23" s="6">
        <v>1982</v>
      </c>
      <c r="L23" s="5">
        <v>2026</v>
      </c>
      <c r="M23" s="7" t="s">
        <v>16</v>
      </c>
    </row>
    <row r="24" spans="1:13" ht="12" customHeight="1" x14ac:dyDescent="0.25">
      <c r="A24" s="4">
        <v>21</v>
      </c>
      <c r="B24" s="9">
        <v>1618</v>
      </c>
      <c r="C24" s="9" t="s">
        <v>36</v>
      </c>
      <c r="D24" s="9">
        <v>27</v>
      </c>
      <c r="E24" s="4"/>
      <c r="F24" s="7"/>
      <c r="G24" s="4">
        <v>4</v>
      </c>
      <c r="H24" s="8">
        <f t="shared" si="3"/>
        <v>25.65</v>
      </c>
      <c r="I24" s="8">
        <f t="shared" si="1"/>
        <v>1.3500000000000014</v>
      </c>
      <c r="J24" s="7">
        <f t="shared" si="2"/>
        <v>44</v>
      </c>
      <c r="K24" s="9">
        <v>1982</v>
      </c>
      <c r="L24" s="5">
        <v>2026</v>
      </c>
      <c r="M24" s="7" t="s">
        <v>16</v>
      </c>
    </row>
    <row r="25" spans="1:13" ht="12" customHeight="1" x14ac:dyDescent="0.25">
      <c r="A25" s="4">
        <v>22</v>
      </c>
      <c r="B25" s="5">
        <v>1629</v>
      </c>
      <c r="C25" s="6" t="s">
        <v>37</v>
      </c>
      <c r="D25" s="5">
        <v>12.85</v>
      </c>
      <c r="E25" s="4"/>
      <c r="F25" s="7"/>
      <c r="G25" s="4">
        <v>4</v>
      </c>
      <c r="H25" s="8">
        <f t="shared" si="3"/>
        <v>12.2075</v>
      </c>
      <c r="I25" s="8">
        <f t="shared" si="1"/>
        <v>0.64250000000000007</v>
      </c>
      <c r="J25" s="7">
        <f t="shared" si="2"/>
        <v>44</v>
      </c>
      <c r="K25" s="5">
        <v>1982</v>
      </c>
      <c r="L25" s="5">
        <v>2026</v>
      </c>
      <c r="M25" s="7" t="s">
        <v>16</v>
      </c>
    </row>
    <row r="26" spans="1:13" ht="12" customHeight="1" x14ac:dyDescent="0.25">
      <c r="A26" s="4">
        <v>23</v>
      </c>
      <c r="B26" s="5">
        <v>1698</v>
      </c>
      <c r="C26" s="6" t="s">
        <v>38</v>
      </c>
      <c r="D26" s="5">
        <v>24.45</v>
      </c>
      <c r="E26" s="4"/>
      <c r="F26" s="7"/>
      <c r="G26" s="4">
        <v>4</v>
      </c>
      <c r="H26" s="8">
        <f t="shared" si="3"/>
        <v>23.227499999999999</v>
      </c>
      <c r="I26" s="8">
        <f t="shared" si="1"/>
        <v>1.2225000000000001</v>
      </c>
      <c r="J26" s="7">
        <f t="shared" si="2"/>
        <v>43</v>
      </c>
      <c r="K26" s="5">
        <v>1983</v>
      </c>
      <c r="L26" s="5">
        <v>2026</v>
      </c>
      <c r="M26" s="7" t="s">
        <v>16</v>
      </c>
    </row>
    <row r="27" spans="1:13" ht="12" customHeight="1" x14ac:dyDescent="0.25">
      <c r="A27" s="4">
        <v>24</v>
      </c>
      <c r="B27" s="5">
        <v>1743</v>
      </c>
      <c r="C27" s="6" t="s">
        <v>39</v>
      </c>
      <c r="D27" s="6">
        <v>22.5</v>
      </c>
      <c r="E27" s="4"/>
      <c r="F27" s="7"/>
      <c r="G27" s="4">
        <v>4</v>
      </c>
      <c r="H27" s="8">
        <f t="shared" si="3"/>
        <v>21.375</v>
      </c>
      <c r="I27" s="8">
        <f t="shared" si="1"/>
        <v>1.125</v>
      </c>
      <c r="J27" s="7">
        <f t="shared" si="2"/>
        <v>43</v>
      </c>
      <c r="K27" s="6">
        <v>1983</v>
      </c>
      <c r="L27" s="5">
        <v>2026</v>
      </c>
      <c r="M27" s="7" t="s">
        <v>16</v>
      </c>
    </row>
    <row r="28" spans="1:13" ht="12" customHeight="1" x14ac:dyDescent="0.25">
      <c r="A28" s="4">
        <v>25</v>
      </c>
      <c r="B28" s="5">
        <v>1746</v>
      </c>
      <c r="C28" s="6" t="s">
        <v>40</v>
      </c>
      <c r="D28" s="5">
        <v>20</v>
      </c>
      <c r="E28" s="4"/>
      <c r="F28" s="7"/>
      <c r="G28" s="4">
        <v>4</v>
      </c>
      <c r="H28" s="8">
        <f t="shared" si="3"/>
        <v>19</v>
      </c>
      <c r="I28" s="8">
        <f t="shared" si="1"/>
        <v>1</v>
      </c>
      <c r="J28" s="7">
        <f t="shared" si="2"/>
        <v>43</v>
      </c>
      <c r="K28" s="5">
        <v>1983</v>
      </c>
      <c r="L28" s="5">
        <v>2026</v>
      </c>
      <c r="M28" s="7" t="s">
        <v>16</v>
      </c>
    </row>
    <row r="29" spans="1:13" ht="12" customHeight="1" x14ac:dyDescent="0.25">
      <c r="A29" s="4">
        <v>26</v>
      </c>
      <c r="B29" s="9">
        <v>1758</v>
      </c>
      <c r="C29" s="9" t="s">
        <v>41</v>
      </c>
      <c r="D29" s="9">
        <v>15</v>
      </c>
      <c r="E29" s="4"/>
      <c r="F29" s="7"/>
      <c r="G29" s="4">
        <v>4</v>
      </c>
      <c r="H29" s="8">
        <f t="shared" si="3"/>
        <v>14.25</v>
      </c>
      <c r="I29" s="8">
        <f t="shared" si="1"/>
        <v>0.75</v>
      </c>
      <c r="J29" s="7">
        <f t="shared" si="2"/>
        <v>43</v>
      </c>
      <c r="K29" s="9">
        <v>1983</v>
      </c>
      <c r="L29" s="5">
        <v>2026</v>
      </c>
      <c r="M29" s="7" t="s">
        <v>16</v>
      </c>
    </row>
    <row r="30" spans="1:13" ht="12" customHeight="1" x14ac:dyDescent="0.25">
      <c r="A30" s="4">
        <v>27</v>
      </c>
      <c r="B30" s="5">
        <v>1766</v>
      </c>
      <c r="C30" s="6" t="s">
        <v>42</v>
      </c>
      <c r="D30" s="5">
        <v>20</v>
      </c>
      <c r="E30" s="4"/>
      <c r="F30" s="7"/>
      <c r="G30" s="4">
        <v>4</v>
      </c>
      <c r="H30" s="8">
        <f t="shared" si="3"/>
        <v>19</v>
      </c>
      <c r="I30" s="8">
        <f t="shared" si="1"/>
        <v>1</v>
      </c>
      <c r="J30" s="7">
        <f t="shared" si="2"/>
        <v>43</v>
      </c>
      <c r="K30" s="5">
        <v>1983</v>
      </c>
      <c r="L30" s="5">
        <v>2026</v>
      </c>
      <c r="M30" s="7" t="s">
        <v>16</v>
      </c>
    </row>
    <row r="31" spans="1:13" ht="12" customHeight="1" x14ac:dyDescent="0.25">
      <c r="A31" s="4">
        <v>28</v>
      </c>
      <c r="B31" s="9">
        <v>1789</v>
      </c>
      <c r="C31" s="9" t="s">
        <v>43</v>
      </c>
      <c r="D31" s="9">
        <v>20</v>
      </c>
      <c r="E31" s="4"/>
      <c r="F31" s="7"/>
      <c r="G31" s="4">
        <v>4</v>
      </c>
      <c r="H31" s="8">
        <f t="shared" si="3"/>
        <v>19</v>
      </c>
      <c r="I31" s="8">
        <f t="shared" si="1"/>
        <v>1</v>
      </c>
      <c r="J31" s="7">
        <f t="shared" si="2"/>
        <v>42</v>
      </c>
      <c r="K31" s="9">
        <v>1984</v>
      </c>
      <c r="L31" s="5">
        <v>2026</v>
      </c>
      <c r="M31" s="7" t="s">
        <v>16</v>
      </c>
    </row>
    <row r="32" spans="1:13" ht="12" customHeight="1" x14ac:dyDescent="0.25">
      <c r="A32" s="4">
        <v>29</v>
      </c>
      <c r="B32" s="5">
        <v>1804</v>
      </c>
      <c r="C32" s="6" t="s">
        <v>44</v>
      </c>
      <c r="D32" s="6">
        <v>4.5</v>
      </c>
      <c r="E32" s="4"/>
      <c r="F32" s="7"/>
      <c r="G32" s="4">
        <v>4</v>
      </c>
      <c r="H32" s="8">
        <f t="shared" si="3"/>
        <v>4.2749999999999995</v>
      </c>
      <c r="I32" s="8">
        <f t="shared" si="1"/>
        <v>0.22500000000000053</v>
      </c>
      <c r="J32" s="7">
        <f t="shared" si="2"/>
        <v>43</v>
      </c>
      <c r="K32" s="6">
        <v>1983</v>
      </c>
      <c r="L32" s="5">
        <v>2026</v>
      </c>
      <c r="M32" s="7" t="s">
        <v>16</v>
      </c>
    </row>
    <row r="33" spans="1:13" ht="12" customHeight="1" x14ac:dyDescent="0.25">
      <c r="A33" s="4">
        <v>30</v>
      </c>
      <c r="B33" s="5">
        <v>1808</v>
      </c>
      <c r="C33" s="6" t="s">
        <v>45</v>
      </c>
      <c r="D33" s="6">
        <v>18</v>
      </c>
      <c r="E33" s="4"/>
      <c r="F33" s="7"/>
      <c r="G33" s="4">
        <v>4</v>
      </c>
      <c r="H33" s="8">
        <f t="shared" si="3"/>
        <v>17.099999999999998</v>
      </c>
      <c r="I33" s="8">
        <f t="shared" si="1"/>
        <v>0.90000000000000213</v>
      </c>
      <c r="J33" s="7">
        <f t="shared" si="2"/>
        <v>43</v>
      </c>
      <c r="K33" s="6">
        <v>1983</v>
      </c>
      <c r="L33" s="5">
        <v>2026</v>
      </c>
      <c r="M33" s="7" t="s">
        <v>16</v>
      </c>
    </row>
    <row r="34" spans="1:13" ht="12" customHeight="1" x14ac:dyDescent="0.25">
      <c r="A34" s="4">
        <v>31</v>
      </c>
      <c r="B34" s="6">
        <v>1811</v>
      </c>
      <c r="C34" s="6" t="s">
        <v>46</v>
      </c>
      <c r="D34" s="6">
        <v>10</v>
      </c>
      <c r="E34" s="4"/>
      <c r="F34" s="7"/>
      <c r="G34" s="4">
        <v>4</v>
      </c>
      <c r="H34" s="8">
        <f t="shared" si="3"/>
        <v>9.5</v>
      </c>
      <c r="I34" s="8">
        <f t="shared" si="1"/>
        <v>0.5</v>
      </c>
      <c r="J34" s="7">
        <f t="shared" si="2"/>
        <v>43</v>
      </c>
      <c r="K34" s="6">
        <v>1983</v>
      </c>
      <c r="L34" s="5">
        <v>2026</v>
      </c>
      <c r="M34" s="7" t="s">
        <v>16</v>
      </c>
    </row>
    <row r="35" spans="1:13" ht="12" customHeight="1" x14ac:dyDescent="0.25">
      <c r="A35" s="4">
        <v>32</v>
      </c>
      <c r="B35" s="9">
        <v>1824</v>
      </c>
      <c r="C35" s="9" t="s">
        <v>47</v>
      </c>
      <c r="D35" s="9">
        <v>12</v>
      </c>
      <c r="E35" s="4"/>
      <c r="F35" s="7"/>
      <c r="G35" s="4">
        <v>4</v>
      </c>
      <c r="H35" s="8">
        <f t="shared" si="3"/>
        <v>11.399999999999999</v>
      </c>
      <c r="I35" s="8">
        <f t="shared" si="1"/>
        <v>0.60000000000000142</v>
      </c>
      <c r="J35" s="7">
        <f t="shared" si="2"/>
        <v>43</v>
      </c>
      <c r="K35" s="9">
        <v>1983</v>
      </c>
      <c r="L35" s="5">
        <v>2026</v>
      </c>
      <c r="M35" s="7" t="s">
        <v>16</v>
      </c>
    </row>
    <row r="36" spans="1:13" ht="12" customHeight="1" x14ac:dyDescent="0.25">
      <c r="A36" s="4">
        <v>33</v>
      </c>
      <c r="B36" s="9">
        <v>1825</v>
      </c>
      <c r="C36" s="9" t="s">
        <v>48</v>
      </c>
      <c r="D36" s="9">
        <v>12</v>
      </c>
      <c r="E36" s="4"/>
      <c r="F36" s="7"/>
      <c r="G36" s="4">
        <v>4</v>
      </c>
      <c r="H36" s="8">
        <f t="shared" si="3"/>
        <v>11.399999999999999</v>
      </c>
      <c r="I36" s="8">
        <f t="shared" si="1"/>
        <v>0.60000000000000142</v>
      </c>
      <c r="J36" s="7">
        <f t="shared" si="2"/>
        <v>43</v>
      </c>
      <c r="K36" s="9">
        <v>1983</v>
      </c>
      <c r="L36" s="5">
        <v>2026</v>
      </c>
      <c r="M36" s="7" t="s">
        <v>16</v>
      </c>
    </row>
    <row r="37" spans="1:13" ht="12" customHeight="1" x14ac:dyDescent="0.25">
      <c r="A37" s="4">
        <v>34</v>
      </c>
      <c r="B37" s="5">
        <v>1826</v>
      </c>
      <c r="C37" s="6" t="s">
        <v>49</v>
      </c>
      <c r="D37" s="5">
        <v>12</v>
      </c>
      <c r="E37" s="4"/>
      <c r="F37" s="7"/>
      <c r="G37" s="4">
        <v>4</v>
      </c>
      <c r="H37" s="8">
        <f t="shared" si="3"/>
        <v>11.399999999999999</v>
      </c>
      <c r="I37" s="8">
        <f t="shared" si="1"/>
        <v>0.60000000000000142</v>
      </c>
      <c r="J37" s="7">
        <f t="shared" si="2"/>
        <v>43</v>
      </c>
      <c r="K37" s="5">
        <v>1983</v>
      </c>
      <c r="L37" s="5">
        <v>2026</v>
      </c>
      <c r="M37" s="7" t="s">
        <v>16</v>
      </c>
    </row>
    <row r="38" spans="1:13" ht="12" customHeight="1" x14ac:dyDescent="0.25">
      <c r="A38" s="4">
        <v>35</v>
      </c>
      <c r="B38" s="5">
        <v>1827</v>
      </c>
      <c r="C38" s="6" t="s">
        <v>49</v>
      </c>
      <c r="D38" s="5">
        <v>12</v>
      </c>
      <c r="E38" s="4"/>
      <c r="F38" s="7"/>
      <c r="G38" s="4">
        <v>4</v>
      </c>
      <c r="H38" s="8">
        <f t="shared" si="3"/>
        <v>11.399999999999999</v>
      </c>
      <c r="I38" s="8">
        <f t="shared" si="1"/>
        <v>0.60000000000000142</v>
      </c>
      <c r="J38" s="7">
        <f t="shared" si="2"/>
        <v>43</v>
      </c>
      <c r="K38" s="5">
        <v>1983</v>
      </c>
      <c r="L38" s="5">
        <v>2026</v>
      </c>
      <c r="M38" s="7" t="s">
        <v>16</v>
      </c>
    </row>
    <row r="39" spans="1:13" ht="12" customHeight="1" x14ac:dyDescent="0.25">
      <c r="A39" s="4">
        <v>36</v>
      </c>
      <c r="B39" s="5">
        <v>1833</v>
      </c>
      <c r="C39" s="6" t="s">
        <v>50</v>
      </c>
      <c r="D39" s="6">
        <v>12</v>
      </c>
      <c r="E39" s="4"/>
      <c r="F39" s="7"/>
      <c r="G39" s="4">
        <v>4</v>
      </c>
      <c r="H39" s="8">
        <f t="shared" si="3"/>
        <v>11.399999999999999</v>
      </c>
      <c r="I39" s="8">
        <f t="shared" si="1"/>
        <v>0.60000000000000142</v>
      </c>
      <c r="J39" s="7">
        <f t="shared" si="2"/>
        <v>44</v>
      </c>
      <c r="K39" s="6">
        <v>1982</v>
      </c>
      <c r="L39" s="5">
        <v>2026</v>
      </c>
      <c r="M39" s="7" t="s">
        <v>16</v>
      </c>
    </row>
    <row r="40" spans="1:13" ht="12" customHeight="1" x14ac:dyDescent="0.25">
      <c r="A40" s="4">
        <v>37</v>
      </c>
      <c r="B40" s="5">
        <v>1834</v>
      </c>
      <c r="C40" s="6" t="s">
        <v>50</v>
      </c>
      <c r="D40" s="6">
        <v>12</v>
      </c>
      <c r="E40" s="4"/>
      <c r="F40" s="7"/>
      <c r="G40" s="4">
        <v>4</v>
      </c>
      <c r="H40" s="8">
        <f t="shared" si="3"/>
        <v>11.399999999999999</v>
      </c>
      <c r="I40" s="8">
        <f t="shared" si="1"/>
        <v>0.60000000000000142</v>
      </c>
      <c r="J40" s="7">
        <f t="shared" si="2"/>
        <v>43</v>
      </c>
      <c r="K40" s="6">
        <v>1983</v>
      </c>
      <c r="L40" s="5">
        <v>2026</v>
      </c>
      <c r="M40" s="7" t="s">
        <v>16</v>
      </c>
    </row>
    <row r="41" spans="1:13" ht="12" customHeight="1" x14ac:dyDescent="0.25">
      <c r="A41" s="4">
        <v>38</v>
      </c>
      <c r="B41" s="5">
        <v>1838</v>
      </c>
      <c r="C41" s="6" t="s">
        <v>50</v>
      </c>
      <c r="D41" s="6">
        <v>12</v>
      </c>
      <c r="E41" s="4"/>
      <c r="F41" s="7"/>
      <c r="G41" s="4">
        <v>4</v>
      </c>
      <c r="H41" s="8">
        <f t="shared" si="3"/>
        <v>11.399999999999999</v>
      </c>
      <c r="I41" s="8">
        <f t="shared" si="1"/>
        <v>0.60000000000000142</v>
      </c>
      <c r="J41" s="7">
        <f t="shared" si="2"/>
        <v>43</v>
      </c>
      <c r="K41" s="6">
        <v>1983</v>
      </c>
      <c r="L41" s="5">
        <v>2026</v>
      </c>
      <c r="M41" s="7" t="s">
        <v>16</v>
      </c>
    </row>
    <row r="42" spans="1:13" ht="12" customHeight="1" x14ac:dyDescent="0.25">
      <c r="A42" s="4">
        <v>39</v>
      </c>
      <c r="B42" s="5">
        <v>1839</v>
      </c>
      <c r="C42" s="6" t="s">
        <v>51</v>
      </c>
      <c r="D42" s="5">
        <v>12</v>
      </c>
      <c r="E42" s="4"/>
      <c r="F42" s="7"/>
      <c r="G42" s="4">
        <v>4</v>
      </c>
      <c r="H42" s="8">
        <f t="shared" si="3"/>
        <v>11.399999999999999</v>
      </c>
      <c r="I42" s="8">
        <f t="shared" si="1"/>
        <v>0.60000000000000142</v>
      </c>
      <c r="J42" s="7">
        <f t="shared" si="2"/>
        <v>43</v>
      </c>
      <c r="K42" s="5">
        <v>1983</v>
      </c>
      <c r="L42" s="5">
        <v>2026</v>
      </c>
      <c r="M42" s="7" t="s">
        <v>16</v>
      </c>
    </row>
    <row r="43" spans="1:13" ht="12" customHeight="1" x14ac:dyDescent="0.25">
      <c r="A43" s="4">
        <v>40</v>
      </c>
      <c r="B43" s="5">
        <v>1843</v>
      </c>
      <c r="C43" s="6" t="s">
        <v>52</v>
      </c>
      <c r="D43" s="6">
        <v>9.5</v>
      </c>
      <c r="E43" s="4"/>
      <c r="F43" s="7"/>
      <c r="G43" s="4">
        <v>4</v>
      </c>
      <c r="H43" s="8">
        <f t="shared" si="3"/>
        <v>9.0250000000000004</v>
      </c>
      <c r="I43" s="8">
        <f t="shared" si="1"/>
        <v>0.47499999999999964</v>
      </c>
      <c r="J43" s="7">
        <f t="shared" si="2"/>
        <v>43</v>
      </c>
      <c r="K43" s="6">
        <v>1983</v>
      </c>
      <c r="L43" s="5">
        <v>2026</v>
      </c>
      <c r="M43" s="7" t="s">
        <v>16</v>
      </c>
    </row>
    <row r="44" spans="1:13" ht="12" customHeight="1" x14ac:dyDescent="0.25">
      <c r="A44" s="4">
        <v>41</v>
      </c>
      <c r="B44" s="5">
        <v>1878</v>
      </c>
      <c r="C44" s="6" t="s">
        <v>53</v>
      </c>
      <c r="D44" s="5">
        <v>1</v>
      </c>
      <c r="E44" s="4"/>
      <c r="F44" s="7"/>
      <c r="G44" s="4">
        <v>4</v>
      </c>
      <c r="H44" s="8">
        <f t="shared" si="3"/>
        <v>0.95</v>
      </c>
      <c r="I44" s="8">
        <f t="shared" si="1"/>
        <v>5.0000000000000044E-2</v>
      </c>
      <c r="J44" s="7">
        <f t="shared" si="2"/>
        <v>43</v>
      </c>
      <c r="K44" s="5">
        <v>1983</v>
      </c>
      <c r="L44" s="5">
        <v>2026</v>
      </c>
      <c r="M44" s="7" t="s">
        <v>16</v>
      </c>
    </row>
    <row r="45" spans="1:13" ht="12" customHeight="1" x14ac:dyDescent="0.25">
      <c r="A45" s="4">
        <v>42</v>
      </c>
      <c r="B45" s="5">
        <v>1880</v>
      </c>
      <c r="C45" s="6" t="s">
        <v>54</v>
      </c>
      <c r="D45" s="5">
        <v>34.75</v>
      </c>
      <c r="E45" s="4"/>
      <c r="F45" s="7"/>
      <c r="G45" s="4">
        <v>4</v>
      </c>
      <c r="H45" s="8">
        <f t="shared" si="3"/>
        <v>33.012499999999996</v>
      </c>
      <c r="I45" s="8">
        <f t="shared" si="1"/>
        <v>1.7375000000000043</v>
      </c>
      <c r="J45" s="7">
        <f t="shared" si="2"/>
        <v>36</v>
      </c>
      <c r="K45" s="5">
        <v>1990</v>
      </c>
      <c r="L45" s="5">
        <v>2026</v>
      </c>
      <c r="M45" s="7" t="s">
        <v>16</v>
      </c>
    </row>
    <row r="46" spans="1:13" ht="12" customHeight="1" x14ac:dyDescent="0.25">
      <c r="A46" s="4">
        <v>43</v>
      </c>
      <c r="B46" s="5">
        <v>1882</v>
      </c>
      <c r="C46" s="6" t="s">
        <v>55</v>
      </c>
      <c r="D46" s="5">
        <v>12</v>
      </c>
      <c r="E46" s="4"/>
      <c r="F46" s="7"/>
      <c r="G46" s="4">
        <v>4</v>
      </c>
      <c r="H46" s="8">
        <f t="shared" si="3"/>
        <v>11.399999999999999</v>
      </c>
      <c r="I46" s="8">
        <f t="shared" si="1"/>
        <v>0.60000000000000142</v>
      </c>
      <c r="J46" s="7">
        <f t="shared" si="2"/>
        <v>43</v>
      </c>
      <c r="K46" s="5">
        <v>1983</v>
      </c>
      <c r="L46" s="5">
        <v>2026</v>
      </c>
      <c r="M46" s="7" t="s">
        <v>16</v>
      </c>
    </row>
    <row r="47" spans="1:13" ht="12" customHeight="1" x14ac:dyDescent="0.25">
      <c r="A47" s="4">
        <v>44</v>
      </c>
      <c r="B47" s="5">
        <v>1884</v>
      </c>
      <c r="C47" s="6" t="s">
        <v>56</v>
      </c>
      <c r="D47" s="5">
        <v>35</v>
      </c>
      <c r="E47" s="4"/>
      <c r="F47" s="7"/>
      <c r="G47" s="4">
        <v>4</v>
      </c>
      <c r="H47" s="8">
        <f t="shared" si="3"/>
        <v>33.25</v>
      </c>
      <c r="I47" s="8">
        <f t="shared" si="1"/>
        <v>1.75</v>
      </c>
      <c r="J47" s="7">
        <f t="shared" si="2"/>
        <v>35</v>
      </c>
      <c r="K47" s="5">
        <v>1991</v>
      </c>
      <c r="L47" s="5">
        <v>2026</v>
      </c>
      <c r="M47" s="7" t="s">
        <v>16</v>
      </c>
    </row>
    <row r="48" spans="1:13" ht="12" customHeight="1" x14ac:dyDescent="0.25">
      <c r="A48" s="4">
        <v>45</v>
      </c>
      <c r="B48" s="5">
        <v>1885</v>
      </c>
      <c r="C48" s="6" t="s">
        <v>57</v>
      </c>
      <c r="D48" s="5">
        <v>1.5</v>
      </c>
      <c r="E48" s="4"/>
      <c r="F48" s="7"/>
      <c r="G48" s="4">
        <v>4</v>
      </c>
      <c r="H48" s="8">
        <f t="shared" si="3"/>
        <v>1.4249999999999998</v>
      </c>
      <c r="I48" s="8">
        <f t="shared" si="1"/>
        <v>7.5000000000000178E-2</v>
      </c>
      <c r="J48" s="7">
        <f t="shared" si="2"/>
        <v>43</v>
      </c>
      <c r="K48" s="5">
        <v>1983</v>
      </c>
      <c r="L48" s="5">
        <v>2026</v>
      </c>
      <c r="M48" s="7" t="s">
        <v>16</v>
      </c>
    </row>
    <row r="49" spans="1:13" ht="12" customHeight="1" x14ac:dyDescent="0.25">
      <c r="A49" s="4">
        <v>46</v>
      </c>
      <c r="B49" s="9">
        <v>1888</v>
      </c>
      <c r="C49" s="9" t="s">
        <v>58</v>
      </c>
      <c r="D49" s="9">
        <v>11.5</v>
      </c>
      <c r="E49" s="4"/>
      <c r="F49" s="7"/>
      <c r="G49" s="4">
        <v>4</v>
      </c>
      <c r="H49" s="8">
        <f t="shared" si="3"/>
        <v>10.924999999999999</v>
      </c>
      <c r="I49" s="8">
        <f t="shared" si="1"/>
        <v>0.57500000000000107</v>
      </c>
      <c r="J49" s="7">
        <f t="shared" si="2"/>
        <v>43</v>
      </c>
      <c r="K49" s="9">
        <v>1983</v>
      </c>
      <c r="L49" s="5">
        <v>2026</v>
      </c>
      <c r="M49" s="7" t="s">
        <v>16</v>
      </c>
    </row>
    <row r="50" spans="1:13" ht="12" customHeight="1" x14ac:dyDescent="0.25">
      <c r="A50" s="4">
        <v>47</v>
      </c>
      <c r="B50" s="9">
        <v>1889</v>
      </c>
      <c r="C50" s="9" t="s">
        <v>59</v>
      </c>
      <c r="D50" s="9">
        <v>18</v>
      </c>
      <c r="E50" s="4"/>
      <c r="F50" s="7"/>
      <c r="G50" s="4">
        <v>4</v>
      </c>
      <c r="H50" s="8">
        <f t="shared" si="3"/>
        <v>17.099999999999998</v>
      </c>
      <c r="I50" s="8">
        <f t="shared" si="1"/>
        <v>0.90000000000000213</v>
      </c>
      <c r="J50" s="7">
        <f t="shared" si="2"/>
        <v>43</v>
      </c>
      <c r="K50" s="9">
        <v>1983</v>
      </c>
      <c r="L50" s="5">
        <v>2026</v>
      </c>
      <c r="M50" s="7" t="s">
        <v>16</v>
      </c>
    </row>
    <row r="51" spans="1:13" ht="12" customHeight="1" x14ac:dyDescent="0.25">
      <c r="A51" s="4">
        <v>48</v>
      </c>
      <c r="B51" s="9">
        <v>1890</v>
      </c>
      <c r="C51" s="9" t="s">
        <v>60</v>
      </c>
      <c r="D51" s="9">
        <v>19</v>
      </c>
      <c r="E51" s="4"/>
      <c r="F51" s="7"/>
      <c r="G51" s="4">
        <v>4</v>
      </c>
      <c r="H51" s="8">
        <f t="shared" si="3"/>
        <v>18.05</v>
      </c>
      <c r="I51" s="8">
        <f t="shared" si="1"/>
        <v>0.94999999999999929</v>
      </c>
      <c r="J51" s="7">
        <f t="shared" si="2"/>
        <v>43</v>
      </c>
      <c r="K51" s="9">
        <v>1983</v>
      </c>
      <c r="L51" s="5">
        <v>2026</v>
      </c>
      <c r="M51" s="7" t="s">
        <v>16</v>
      </c>
    </row>
    <row r="52" spans="1:13" ht="12" customHeight="1" x14ac:dyDescent="0.25">
      <c r="A52" s="4">
        <v>49</v>
      </c>
      <c r="B52" s="9">
        <v>1894</v>
      </c>
      <c r="C52" s="9" t="s">
        <v>61</v>
      </c>
      <c r="D52" s="9">
        <v>7.5</v>
      </c>
      <c r="E52" s="4"/>
      <c r="F52" s="7"/>
      <c r="G52" s="4">
        <v>4</v>
      </c>
      <c r="H52" s="8">
        <f t="shared" si="3"/>
        <v>7.125</v>
      </c>
      <c r="I52" s="8">
        <f t="shared" si="1"/>
        <v>0.375</v>
      </c>
      <c r="J52" s="7">
        <f t="shared" si="2"/>
        <v>43</v>
      </c>
      <c r="K52" s="9">
        <v>1983</v>
      </c>
      <c r="L52" s="5">
        <v>2026</v>
      </c>
      <c r="M52" s="7" t="s">
        <v>16</v>
      </c>
    </row>
    <row r="53" spans="1:13" ht="12" customHeight="1" x14ac:dyDescent="0.25">
      <c r="A53" s="4">
        <v>50</v>
      </c>
      <c r="B53" s="9">
        <v>1900</v>
      </c>
      <c r="C53" s="9" t="s">
        <v>62</v>
      </c>
      <c r="D53" s="9">
        <v>7</v>
      </c>
      <c r="E53" s="4"/>
      <c r="F53" s="7"/>
      <c r="G53" s="4">
        <v>4</v>
      </c>
      <c r="H53" s="8">
        <f t="shared" si="3"/>
        <v>6.6499999999999995</v>
      </c>
      <c r="I53" s="8">
        <f t="shared" si="1"/>
        <v>0.35000000000000053</v>
      </c>
      <c r="J53" s="7">
        <f t="shared" si="2"/>
        <v>43</v>
      </c>
      <c r="K53" s="9">
        <v>1983</v>
      </c>
      <c r="L53" s="5">
        <v>2026</v>
      </c>
      <c r="M53" s="7" t="s">
        <v>16</v>
      </c>
    </row>
    <row r="54" spans="1:13" ht="12" customHeight="1" x14ac:dyDescent="0.25">
      <c r="A54" s="4">
        <v>51</v>
      </c>
      <c r="B54" s="5">
        <v>1949</v>
      </c>
      <c r="C54" s="6" t="s">
        <v>63</v>
      </c>
      <c r="D54" s="5">
        <v>60</v>
      </c>
      <c r="E54" s="4"/>
      <c r="F54" s="7"/>
      <c r="G54" s="4">
        <v>4</v>
      </c>
      <c r="H54" s="8">
        <f t="shared" si="3"/>
        <v>57</v>
      </c>
      <c r="I54" s="8">
        <f t="shared" si="1"/>
        <v>3</v>
      </c>
      <c r="J54" s="7">
        <f t="shared" si="2"/>
        <v>43</v>
      </c>
      <c r="K54" s="5">
        <v>1983</v>
      </c>
      <c r="L54" s="5">
        <v>2026</v>
      </c>
      <c r="M54" s="7" t="s">
        <v>16</v>
      </c>
    </row>
    <row r="55" spans="1:13" ht="12" customHeight="1" x14ac:dyDescent="0.25">
      <c r="A55" s="4">
        <v>52</v>
      </c>
      <c r="B55" s="5">
        <v>1950</v>
      </c>
      <c r="C55" s="6" t="s">
        <v>64</v>
      </c>
      <c r="D55" s="5">
        <v>5</v>
      </c>
      <c r="E55" s="4"/>
      <c r="F55" s="7"/>
      <c r="G55" s="4">
        <v>4</v>
      </c>
      <c r="H55" s="8">
        <f t="shared" si="3"/>
        <v>4.75</v>
      </c>
      <c r="I55" s="8">
        <f t="shared" si="1"/>
        <v>0.25</v>
      </c>
      <c r="J55" s="7">
        <f t="shared" si="2"/>
        <v>43</v>
      </c>
      <c r="K55" s="5">
        <v>1983</v>
      </c>
      <c r="L55" s="5">
        <v>2026</v>
      </c>
      <c r="M55" s="7" t="s">
        <v>16</v>
      </c>
    </row>
    <row r="56" spans="1:13" ht="12" customHeight="1" x14ac:dyDescent="0.25">
      <c r="A56" s="4">
        <v>53</v>
      </c>
      <c r="B56" s="5">
        <v>1953</v>
      </c>
      <c r="C56" s="6" t="s">
        <v>65</v>
      </c>
      <c r="D56" s="5">
        <v>50</v>
      </c>
      <c r="E56" s="4"/>
      <c r="F56" s="7"/>
      <c r="G56" s="4">
        <v>4</v>
      </c>
      <c r="H56" s="8">
        <f t="shared" si="3"/>
        <v>47.5</v>
      </c>
      <c r="I56" s="8">
        <f t="shared" si="1"/>
        <v>2.5</v>
      </c>
      <c r="J56" s="7">
        <f t="shared" si="2"/>
        <v>43</v>
      </c>
      <c r="K56" s="5">
        <v>1983</v>
      </c>
      <c r="L56" s="5">
        <v>2026</v>
      </c>
      <c r="M56" s="7" t="s">
        <v>16</v>
      </c>
    </row>
    <row r="57" spans="1:13" ht="12" customHeight="1" x14ac:dyDescent="0.25">
      <c r="A57" s="4">
        <v>54</v>
      </c>
      <c r="B57" s="9">
        <v>1954</v>
      </c>
      <c r="C57" s="9" t="s">
        <v>66</v>
      </c>
      <c r="D57" s="9">
        <v>30</v>
      </c>
      <c r="E57" s="4"/>
      <c r="F57" s="7"/>
      <c r="G57" s="4">
        <v>4</v>
      </c>
      <c r="H57" s="8">
        <f t="shared" si="3"/>
        <v>28.5</v>
      </c>
      <c r="I57" s="8">
        <f t="shared" si="1"/>
        <v>1.5</v>
      </c>
      <c r="J57" s="7">
        <f t="shared" si="2"/>
        <v>43</v>
      </c>
      <c r="K57" s="9">
        <v>1983</v>
      </c>
      <c r="L57" s="5">
        <v>2026</v>
      </c>
      <c r="M57" s="7" t="s">
        <v>16</v>
      </c>
    </row>
    <row r="58" spans="1:13" ht="12" customHeight="1" x14ac:dyDescent="0.25">
      <c r="A58" s="4">
        <v>55</v>
      </c>
      <c r="B58" s="5">
        <v>1955</v>
      </c>
      <c r="C58" s="6" t="s">
        <v>67</v>
      </c>
      <c r="D58" s="5">
        <v>6</v>
      </c>
      <c r="E58" s="4"/>
      <c r="F58" s="7"/>
      <c r="G58" s="4">
        <v>4</v>
      </c>
      <c r="H58" s="8">
        <f t="shared" si="3"/>
        <v>5.6999999999999993</v>
      </c>
      <c r="I58" s="8">
        <f t="shared" si="1"/>
        <v>0.30000000000000071</v>
      </c>
      <c r="J58" s="7">
        <f t="shared" si="2"/>
        <v>43</v>
      </c>
      <c r="K58" s="5">
        <v>1983</v>
      </c>
      <c r="L58" s="5">
        <v>2026</v>
      </c>
      <c r="M58" s="7" t="s">
        <v>16</v>
      </c>
    </row>
    <row r="59" spans="1:13" ht="12" customHeight="1" x14ac:dyDescent="0.25">
      <c r="A59" s="4">
        <v>56</v>
      </c>
      <c r="B59" s="5">
        <v>1956</v>
      </c>
      <c r="C59" s="6" t="s">
        <v>68</v>
      </c>
      <c r="D59" s="5">
        <v>9</v>
      </c>
      <c r="E59" s="4"/>
      <c r="F59" s="7"/>
      <c r="G59" s="4">
        <v>4</v>
      </c>
      <c r="H59" s="8">
        <f t="shared" si="3"/>
        <v>8.5499999999999989</v>
      </c>
      <c r="I59" s="8">
        <f t="shared" si="1"/>
        <v>0.45000000000000107</v>
      </c>
      <c r="J59" s="7">
        <f t="shared" si="2"/>
        <v>43</v>
      </c>
      <c r="K59" s="5">
        <v>1983</v>
      </c>
      <c r="L59" s="5">
        <v>2026</v>
      </c>
      <c r="M59" s="7" t="s">
        <v>16</v>
      </c>
    </row>
    <row r="60" spans="1:13" ht="12" customHeight="1" x14ac:dyDescent="0.25">
      <c r="A60" s="4">
        <v>57</v>
      </c>
      <c r="B60" s="5">
        <v>1957</v>
      </c>
      <c r="C60" s="6" t="s">
        <v>69</v>
      </c>
      <c r="D60" s="5">
        <v>3</v>
      </c>
      <c r="E60" s="4"/>
      <c r="F60" s="7"/>
      <c r="G60" s="4">
        <v>4</v>
      </c>
      <c r="H60" s="8">
        <f t="shared" si="3"/>
        <v>2.8499999999999996</v>
      </c>
      <c r="I60" s="8">
        <f t="shared" si="1"/>
        <v>0.15000000000000036</v>
      </c>
      <c r="J60" s="7">
        <f t="shared" si="2"/>
        <v>38</v>
      </c>
      <c r="K60" s="5">
        <v>1988</v>
      </c>
      <c r="L60" s="5">
        <v>2026</v>
      </c>
      <c r="M60" s="7" t="s">
        <v>16</v>
      </c>
    </row>
    <row r="61" spans="1:13" ht="12" customHeight="1" x14ac:dyDescent="0.25">
      <c r="A61" s="4">
        <v>58</v>
      </c>
      <c r="B61" s="5">
        <v>1958</v>
      </c>
      <c r="C61" s="6" t="s">
        <v>70</v>
      </c>
      <c r="D61" s="6">
        <v>3</v>
      </c>
      <c r="E61" s="4"/>
      <c r="F61" s="7"/>
      <c r="G61" s="4">
        <v>4</v>
      </c>
      <c r="H61" s="8">
        <f t="shared" si="3"/>
        <v>2.8499999999999996</v>
      </c>
      <c r="I61" s="8">
        <f t="shared" si="1"/>
        <v>0.15000000000000036</v>
      </c>
      <c r="J61" s="7">
        <f t="shared" si="2"/>
        <v>38</v>
      </c>
      <c r="K61" s="6">
        <v>1988</v>
      </c>
      <c r="L61" s="5">
        <v>2026</v>
      </c>
      <c r="M61" s="7" t="s">
        <v>16</v>
      </c>
    </row>
    <row r="62" spans="1:13" ht="12" customHeight="1" x14ac:dyDescent="0.25">
      <c r="A62" s="4">
        <v>59</v>
      </c>
      <c r="B62" s="6">
        <v>2009</v>
      </c>
      <c r="C62" s="6" t="s">
        <v>71</v>
      </c>
      <c r="D62" s="6">
        <v>9</v>
      </c>
      <c r="E62" s="4"/>
      <c r="F62" s="7"/>
      <c r="G62" s="4">
        <v>4</v>
      </c>
      <c r="H62" s="8">
        <f t="shared" si="3"/>
        <v>8.5499999999999989</v>
      </c>
      <c r="I62" s="8">
        <f t="shared" si="1"/>
        <v>0.45000000000000107</v>
      </c>
      <c r="J62" s="7">
        <f t="shared" si="2"/>
        <v>42</v>
      </c>
      <c r="K62" s="6">
        <v>1984</v>
      </c>
      <c r="L62" s="5">
        <v>2026</v>
      </c>
      <c r="M62" s="7" t="s">
        <v>16</v>
      </c>
    </row>
    <row r="63" spans="1:13" ht="12" customHeight="1" x14ac:dyDescent="0.25">
      <c r="A63" s="4">
        <v>60</v>
      </c>
      <c r="B63" s="5">
        <v>2014</v>
      </c>
      <c r="C63" s="6" t="s">
        <v>72</v>
      </c>
      <c r="D63" s="5">
        <v>9</v>
      </c>
      <c r="E63" s="4"/>
      <c r="F63" s="7"/>
      <c r="G63" s="4">
        <v>4</v>
      </c>
      <c r="H63" s="8">
        <f t="shared" si="3"/>
        <v>8.5499999999999989</v>
      </c>
      <c r="I63" s="8">
        <f t="shared" si="1"/>
        <v>0.45000000000000107</v>
      </c>
      <c r="J63" s="7">
        <f t="shared" si="2"/>
        <v>42</v>
      </c>
      <c r="K63" s="5">
        <v>1984</v>
      </c>
      <c r="L63" s="5">
        <v>2026</v>
      </c>
      <c r="M63" s="7" t="s">
        <v>16</v>
      </c>
    </row>
    <row r="64" spans="1:13" ht="12" customHeight="1" x14ac:dyDescent="0.25">
      <c r="A64" s="4">
        <v>61</v>
      </c>
      <c r="B64" s="6">
        <v>2206</v>
      </c>
      <c r="C64" s="6" t="s">
        <v>73</v>
      </c>
      <c r="D64" s="6">
        <v>15</v>
      </c>
      <c r="E64" s="4"/>
      <c r="F64" s="7"/>
      <c r="G64" s="4">
        <v>4</v>
      </c>
      <c r="H64" s="8">
        <f t="shared" si="3"/>
        <v>14.25</v>
      </c>
      <c r="I64" s="8">
        <f t="shared" si="1"/>
        <v>0.75</v>
      </c>
      <c r="J64" s="7">
        <f t="shared" si="2"/>
        <v>42</v>
      </c>
      <c r="K64" s="6">
        <v>1984</v>
      </c>
      <c r="L64" s="5">
        <v>2026</v>
      </c>
      <c r="M64" s="7" t="s">
        <v>16</v>
      </c>
    </row>
    <row r="65" spans="1:13" ht="12" customHeight="1" x14ac:dyDescent="0.25">
      <c r="A65" s="4">
        <v>62</v>
      </c>
      <c r="B65" s="5">
        <v>2207</v>
      </c>
      <c r="C65" s="6" t="s">
        <v>74</v>
      </c>
      <c r="D65" s="5">
        <v>15</v>
      </c>
      <c r="E65" s="4"/>
      <c r="F65" s="7"/>
      <c r="G65" s="4">
        <v>4</v>
      </c>
      <c r="H65" s="8">
        <f t="shared" si="3"/>
        <v>14.25</v>
      </c>
      <c r="I65" s="8">
        <f t="shared" si="1"/>
        <v>0.75</v>
      </c>
      <c r="J65" s="7">
        <f t="shared" si="2"/>
        <v>42</v>
      </c>
      <c r="K65" s="5">
        <v>1984</v>
      </c>
      <c r="L65" s="5">
        <v>2026</v>
      </c>
      <c r="M65" s="7" t="s">
        <v>16</v>
      </c>
    </row>
    <row r="66" spans="1:13" ht="12" customHeight="1" x14ac:dyDescent="0.25">
      <c r="A66" s="4">
        <v>63</v>
      </c>
      <c r="B66" s="6">
        <v>2208</v>
      </c>
      <c r="C66" s="6" t="s">
        <v>75</v>
      </c>
      <c r="D66" s="6">
        <v>15</v>
      </c>
      <c r="E66" s="4"/>
      <c r="F66" s="7"/>
      <c r="G66" s="4">
        <v>4</v>
      </c>
      <c r="H66" s="8">
        <f t="shared" si="3"/>
        <v>14.25</v>
      </c>
      <c r="I66" s="8">
        <f t="shared" si="1"/>
        <v>0.75</v>
      </c>
      <c r="J66" s="7">
        <f t="shared" si="2"/>
        <v>42</v>
      </c>
      <c r="K66" s="6">
        <v>1984</v>
      </c>
      <c r="L66" s="5">
        <v>2026</v>
      </c>
      <c r="M66" s="7" t="s">
        <v>16</v>
      </c>
    </row>
    <row r="67" spans="1:13" ht="12" customHeight="1" x14ac:dyDescent="0.25">
      <c r="A67" s="4">
        <v>64</v>
      </c>
      <c r="B67" s="5">
        <v>2210</v>
      </c>
      <c r="C67" s="6" t="s">
        <v>76</v>
      </c>
      <c r="D67" s="5">
        <v>15</v>
      </c>
      <c r="E67" s="4"/>
      <c r="F67" s="7"/>
      <c r="G67" s="4">
        <v>4</v>
      </c>
      <c r="H67" s="8">
        <f t="shared" si="3"/>
        <v>14.25</v>
      </c>
      <c r="I67" s="8">
        <f t="shared" si="1"/>
        <v>0.75</v>
      </c>
      <c r="J67" s="7">
        <f t="shared" si="2"/>
        <v>42</v>
      </c>
      <c r="K67" s="5">
        <v>1984</v>
      </c>
      <c r="L67" s="5">
        <v>2026</v>
      </c>
      <c r="M67" s="7" t="s">
        <v>16</v>
      </c>
    </row>
    <row r="68" spans="1:13" ht="12" customHeight="1" x14ac:dyDescent="0.25">
      <c r="A68" s="4">
        <v>65</v>
      </c>
      <c r="B68" s="9">
        <v>2211</v>
      </c>
      <c r="C68" s="9" t="s">
        <v>77</v>
      </c>
      <c r="D68" s="9">
        <v>15</v>
      </c>
      <c r="E68" s="4"/>
      <c r="F68" s="7"/>
      <c r="G68" s="4">
        <v>4</v>
      </c>
      <c r="H68" s="8">
        <f t="shared" si="3"/>
        <v>14.25</v>
      </c>
      <c r="I68" s="8">
        <f t="shared" ref="I68:I131" si="4">(D68-H68)</f>
        <v>0.75</v>
      </c>
      <c r="J68" s="7">
        <f t="shared" ref="J68:J131" si="5">(L68-K68)</f>
        <v>42</v>
      </c>
      <c r="K68" s="9">
        <v>1984</v>
      </c>
      <c r="L68" s="5">
        <v>2026</v>
      </c>
      <c r="M68" s="7" t="s">
        <v>16</v>
      </c>
    </row>
    <row r="69" spans="1:13" ht="12" customHeight="1" x14ac:dyDescent="0.25">
      <c r="A69" s="4">
        <v>66</v>
      </c>
      <c r="B69" s="6">
        <v>2213</v>
      </c>
      <c r="C69" s="6" t="s">
        <v>78</v>
      </c>
      <c r="D69" s="6">
        <v>15</v>
      </c>
      <c r="E69" s="4"/>
      <c r="F69" s="7"/>
      <c r="G69" s="4">
        <v>4</v>
      </c>
      <c r="H69" s="8">
        <f t="shared" ref="H69:H132" si="6">D69*0.95</f>
        <v>14.25</v>
      </c>
      <c r="I69" s="8">
        <f t="shared" si="4"/>
        <v>0.75</v>
      </c>
      <c r="J69" s="7">
        <f t="shared" si="5"/>
        <v>42</v>
      </c>
      <c r="K69" s="6">
        <v>1984</v>
      </c>
      <c r="L69" s="5">
        <v>2026</v>
      </c>
      <c r="M69" s="7" t="s">
        <v>16</v>
      </c>
    </row>
    <row r="70" spans="1:13" ht="12" customHeight="1" x14ac:dyDescent="0.25">
      <c r="A70" s="4">
        <v>67</v>
      </c>
      <c r="B70" s="5">
        <v>2214</v>
      </c>
      <c r="C70" s="6" t="s">
        <v>79</v>
      </c>
      <c r="D70" s="6">
        <v>15</v>
      </c>
      <c r="E70" s="4"/>
      <c r="F70" s="7"/>
      <c r="G70" s="4">
        <v>4</v>
      </c>
      <c r="H70" s="8">
        <f t="shared" si="6"/>
        <v>14.25</v>
      </c>
      <c r="I70" s="8">
        <f t="shared" si="4"/>
        <v>0.75</v>
      </c>
      <c r="J70" s="7">
        <f t="shared" si="5"/>
        <v>42</v>
      </c>
      <c r="K70" s="6">
        <v>1984</v>
      </c>
      <c r="L70" s="5">
        <v>2026</v>
      </c>
      <c r="M70" s="7" t="s">
        <v>16</v>
      </c>
    </row>
    <row r="71" spans="1:13" ht="12" customHeight="1" x14ac:dyDescent="0.25">
      <c r="A71" s="4">
        <v>68</v>
      </c>
      <c r="B71" s="9">
        <v>2216</v>
      </c>
      <c r="C71" s="9" t="s">
        <v>80</v>
      </c>
      <c r="D71" s="9">
        <v>15</v>
      </c>
      <c r="E71" s="4"/>
      <c r="F71" s="7"/>
      <c r="G71" s="4">
        <v>4</v>
      </c>
      <c r="H71" s="8">
        <f t="shared" si="6"/>
        <v>14.25</v>
      </c>
      <c r="I71" s="8">
        <f t="shared" si="4"/>
        <v>0.75</v>
      </c>
      <c r="J71" s="7">
        <f t="shared" si="5"/>
        <v>42</v>
      </c>
      <c r="K71" s="9">
        <v>1984</v>
      </c>
      <c r="L71" s="5">
        <v>2026</v>
      </c>
      <c r="M71" s="7" t="s">
        <v>16</v>
      </c>
    </row>
    <row r="72" spans="1:13" ht="12" customHeight="1" x14ac:dyDescent="0.25">
      <c r="A72" s="4">
        <v>69</v>
      </c>
      <c r="B72" s="6">
        <v>2219</v>
      </c>
      <c r="C72" s="6" t="s">
        <v>81</v>
      </c>
      <c r="D72" s="6">
        <v>15</v>
      </c>
      <c r="E72" s="4"/>
      <c r="F72" s="7"/>
      <c r="G72" s="4">
        <v>4</v>
      </c>
      <c r="H72" s="8">
        <f t="shared" si="6"/>
        <v>14.25</v>
      </c>
      <c r="I72" s="8">
        <f t="shared" si="4"/>
        <v>0.75</v>
      </c>
      <c r="J72" s="7">
        <f t="shared" si="5"/>
        <v>42</v>
      </c>
      <c r="K72" s="6">
        <v>1984</v>
      </c>
      <c r="L72" s="5">
        <v>2026</v>
      </c>
      <c r="M72" s="7" t="s">
        <v>16</v>
      </c>
    </row>
    <row r="73" spans="1:13" ht="12" customHeight="1" x14ac:dyDescent="0.25">
      <c r="A73" s="4">
        <v>70</v>
      </c>
      <c r="B73" s="5">
        <v>2220</v>
      </c>
      <c r="C73" s="6" t="s">
        <v>82</v>
      </c>
      <c r="D73" s="6">
        <v>15</v>
      </c>
      <c r="E73" s="4"/>
      <c r="F73" s="7"/>
      <c r="G73" s="4">
        <v>4</v>
      </c>
      <c r="H73" s="8">
        <f t="shared" si="6"/>
        <v>14.25</v>
      </c>
      <c r="I73" s="8">
        <f t="shared" si="4"/>
        <v>0.75</v>
      </c>
      <c r="J73" s="7">
        <f t="shared" si="5"/>
        <v>42</v>
      </c>
      <c r="K73" s="6">
        <v>1984</v>
      </c>
      <c r="L73" s="5">
        <v>2026</v>
      </c>
      <c r="M73" s="7" t="s">
        <v>16</v>
      </c>
    </row>
    <row r="74" spans="1:13" ht="12" customHeight="1" x14ac:dyDescent="0.25">
      <c r="A74" s="4">
        <v>71</v>
      </c>
      <c r="B74" s="5">
        <v>2221</v>
      </c>
      <c r="C74" s="6" t="s">
        <v>83</v>
      </c>
      <c r="D74" s="6">
        <v>15</v>
      </c>
      <c r="E74" s="4"/>
      <c r="F74" s="7"/>
      <c r="G74" s="4">
        <v>4</v>
      </c>
      <c r="H74" s="8">
        <f t="shared" si="6"/>
        <v>14.25</v>
      </c>
      <c r="I74" s="8">
        <f t="shared" si="4"/>
        <v>0.75</v>
      </c>
      <c r="J74" s="7">
        <f t="shared" si="5"/>
        <v>42</v>
      </c>
      <c r="K74" s="6">
        <v>1984</v>
      </c>
      <c r="L74" s="5">
        <v>2026</v>
      </c>
      <c r="M74" s="7" t="s">
        <v>16</v>
      </c>
    </row>
    <row r="75" spans="1:13" ht="12" customHeight="1" x14ac:dyDescent="0.25">
      <c r="A75" s="4">
        <v>72</v>
      </c>
      <c r="B75" s="9">
        <v>2222</v>
      </c>
      <c r="C75" s="9" t="s">
        <v>84</v>
      </c>
      <c r="D75" s="9">
        <v>15</v>
      </c>
      <c r="E75" s="4"/>
      <c r="F75" s="7"/>
      <c r="G75" s="4">
        <v>4</v>
      </c>
      <c r="H75" s="8">
        <f t="shared" si="6"/>
        <v>14.25</v>
      </c>
      <c r="I75" s="8">
        <f t="shared" si="4"/>
        <v>0.75</v>
      </c>
      <c r="J75" s="7">
        <f t="shared" si="5"/>
        <v>42</v>
      </c>
      <c r="K75" s="9">
        <v>1984</v>
      </c>
      <c r="L75" s="5">
        <v>2026</v>
      </c>
      <c r="M75" s="7" t="s">
        <v>16</v>
      </c>
    </row>
    <row r="76" spans="1:13" ht="12" customHeight="1" x14ac:dyDescent="0.25">
      <c r="A76" s="4">
        <v>73</v>
      </c>
      <c r="B76" s="6">
        <v>2223</v>
      </c>
      <c r="C76" s="6" t="s">
        <v>85</v>
      </c>
      <c r="D76" s="6">
        <v>15</v>
      </c>
      <c r="E76" s="4"/>
      <c r="F76" s="7"/>
      <c r="G76" s="4">
        <v>4</v>
      </c>
      <c r="H76" s="8">
        <f t="shared" si="6"/>
        <v>14.25</v>
      </c>
      <c r="I76" s="8">
        <f t="shared" si="4"/>
        <v>0.75</v>
      </c>
      <c r="J76" s="7">
        <f t="shared" si="5"/>
        <v>42</v>
      </c>
      <c r="K76" s="6">
        <v>1984</v>
      </c>
      <c r="L76" s="5">
        <v>2026</v>
      </c>
      <c r="M76" s="7" t="s">
        <v>16</v>
      </c>
    </row>
    <row r="77" spans="1:13" ht="12" customHeight="1" x14ac:dyDescent="0.25">
      <c r="A77" s="4">
        <v>74</v>
      </c>
      <c r="B77" s="5">
        <v>2224</v>
      </c>
      <c r="C77" s="6" t="s">
        <v>86</v>
      </c>
      <c r="D77" s="5">
        <v>15</v>
      </c>
      <c r="E77" s="4"/>
      <c r="F77" s="7"/>
      <c r="G77" s="4">
        <v>4</v>
      </c>
      <c r="H77" s="8">
        <f t="shared" si="6"/>
        <v>14.25</v>
      </c>
      <c r="I77" s="8">
        <f t="shared" si="4"/>
        <v>0.75</v>
      </c>
      <c r="J77" s="7">
        <f t="shared" si="5"/>
        <v>42</v>
      </c>
      <c r="K77" s="5">
        <v>1984</v>
      </c>
      <c r="L77" s="5">
        <v>2026</v>
      </c>
      <c r="M77" s="7" t="s">
        <v>16</v>
      </c>
    </row>
    <row r="78" spans="1:13" ht="12" customHeight="1" x14ac:dyDescent="0.25">
      <c r="A78" s="4">
        <v>75</v>
      </c>
      <c r="B78" s="6">
        <v>2225</v>
      </c>
      <c r="C78" s="6" t="s">
        <v>87</v>
      </c>
      <c r="D78" s="6">
        <v>15</v>
      </c>
      <c r="E78" s="4"/>
      <c r="F78" s="7"/>
      <c r="G78" s="4">
        <v>4</v>
      </c>
      <c r="H78" s="8">
        <f t="shared" si="6"/>
        <v>14.25</v>
      </c>
      <c r="I78" s="8">
        <f t="shared" si="4"/>
        <v>0.75</v>
      </c>
      <c r="J78" s="7">
        <f t="shared" si="5"/>
        <v>42</v>
      </c>
      <c r="K78" s="6">
        <v>1984</v>
      </c>
      <c r="L78" s="5">
        <v>2026</v>
      </c>
      <c r="M78" s="7" t="s">
        <v>16</v>
      </c>
    </row>
    <row r="79" spans="1:13" ht="12" customHeight="1" x14ac:dyDescent="0.25">
      <c r="A79" s="4">
        <v>76</v>
      </c>
      <c r="B79" s="5">
        <v>2227</v>
      </c>
      <c r="C79" s="6" t="s">
        <v>88</v>
      </c>
      <c r="D79" s="6">
        <v>15</v>
      </c>
      <c r="E79" s="4"/>
      <c r="F79" s="7"/>
      <c r="G79" s="4">
        <v>4</v>
      </c>
      <c r="H79" s="8">
        <f t="shared" si="6"/>
        <v>14.25</v>
      </c>
      <c r="I79" s="8">
        <f t="shared" si="4"/>
        <v>0.75</v>
      </c>
      <c r="J79" s="7">
        <f t="shared" si="5"/>
        <v>42</v>
      </c>
      <c r="K79" s="5">
        <v>1984</v>
      </c>
      <c r="L79" s="5">
        <v>2026</v>
      </c>
      <c r="M79" s="7" t="s">
        <v>16</v>
      </c>
    </row>
    <row r="80" spans="1:13" ht="12" customHeight="1" x14ac:dyDescent="0.25">
      <c r="A80" s="4">
        <v>77</v>
      </c>
      <c r="B80" s="9">
        <v>2237</v>
      </c>
      <c r="C80" s="9" t="s">
        <v>89</v>
      </c>
      <c r="D80" s="9">
        <v>25</v>
      </c>
      <c r="E80" s="4"/>
      <c r="F80" s="7"/>
      <c r="G80" s="4">
        <v>4</v>
      </c>
      <c r="H80" s="8">
        <f t="shared" si="6"/>
        <v>23.75</v>
      </c>
      <c r="I80" s="8">
        <f t="shared" si="4"/>
        <v>1.25</v>
      </c>
      <c r="J80" s="7">
        <f t="shared" si="5"/>
        <v>42</v>
      </c>
      <c r="K80" s="9">
        <v>1984</v>
      </c>
      <c r="L80" s="5">
        <v>2026</v>
      </c>
      <c r="M80" s="7" t="s">
        <v>16</v>
      </c>
    </row>
    <row r="81" spans="1:13" ht="12" customHeight="1" x14ac:dyDescent="0.25">
      <c r="A81" s="4">
        <v>78</v>
      </c>
      <c r="B81" s="5">
        <v>2259</v>
      </c>
      <c r="C81" s="6" t="s">
        <v>90</v>
      </c>
      <c r="D81" s="6">
        <v>5</v>
      </c>
      <c r="E81" s="4"/>
      <c r="F81" s="7"/>
      <c r="G81" s="4">
        <v>4</v>
      </c>
      <c r="H81" s="8">
        <f t="shared" si="6"/>
        <v>4.75</v>
      </c>
      <c r="I81" s="8">
        <f t="shared" si="4"/>
        <v>0.25</v>
      </c>
      <c r="J81" s="7">
        <f t="shared" si="5"/>
        <v>42</v>
      </c>
      <c r="K81" s="6">
        <v>1984</v>
      </c>
      <c r="L81" s="5">
        <v>2026</v>
      </c>
      <c r="M81" s="7" t="s">
        <v>16</v>
      </c>
    </row>
    <row r="82" spans="1:13" ht="12" customHeight="1" x14ac:dyDescent="0.25">
      <c r="A82" s="4">
        <v>79</v>
      </c>
      <c r="B82" s="5">
        <v>2261</v>
      </c>
      <c r="C82" s="6" t="s">
        <v>91</v>
      </c>
      <c r="D82" s="5">
        <v>4</v>
      </c>
      <c r="E82" s="4"/>
      <c r="F82" s="7"/>
      <c r="G82" s="4">
        <v>4</v>
      </c>
      <c r="H82" s="8">
        <f t="shared" si="6"/>
        <v>3.8</v>
      </c>
      <c r="I82" s="8">
        <f t="shared" si="4"/>
        <v>0.20000000000000018</v>
      </c>
      <c r="J82" s="7">
        <f t="shared" si="5"/>
        <v>42</v>
      </c>
      <c r="K82" s="5">
        <v>1984</v>
      </c>
      <c r="L82" s="5">
        <v>2026</v>
      </c>
      <c r="M82" s="7" t="s">
        <v>16</v>
      </c>
    </row>
    <row r="83" spans="1:13" ht="12" customHeight="1" x14ac:dyDescent="0.25">
      <c r="A83" s="4">
        <v>80</v>
      </c>
      <c r="B83" s="9">
        <v>2290</v>
      </c>
      <c r="C83" s="9" t="s">
        <v>92</v>
      </c>
      <c r="D83" s="9">
        <v>20</v>
      </c>
      <c r="E83" s="4"/>
      <c r="F83" s="7"/>
      <c r="G83" s="4">
        <v>4</v>
      </c>
      <c r="H83" s="8">
        <f t="shared" si="6"/>
        <v>19</v>
      </c>
      <c r="I83" s="8">
        <f t="shared" si="4"/>
        <v>1</v>
      </c>
      <c r="J83" s="7">
        <f t="shared" si="5"/>
        <v>42</v>
      </c>
      <c r="K83" s="9">
        <v>1984</v>
      </c>
      <c r="L83" s="5">
        <v>2026</v>
      </c>
      <c r="M83" s="7" t="s">
        <v>16</v>
      </c>
    </row>
    <row r="84" spans="1:13" ht="12" customHeight="1" x14ac:dyDescent="0.25">
      <c r="A84" s="4">
        <v>81</v>
      </c>
      <c r="B84" s="9">
        <v>2293</v>
      </c>
      <c r="C84" s="9" t="s">
        <v>93</v>
      </c>
      <c r="D84" s="9">
        <v>10</v>
      </c>
      <c r="E84" s="4"/>
      <c r="F84" s="7"/>
      <c r="G84" s="4">
        <v>4</v>
      </c>
      <c r="H84" s="8">
        <f t="shared" si="6"/>
        <v>9.5</v>
      </c>
      <c r="I84" s="8">
        <f t="shared" si="4"/>
        <v>0.5</v>
      </c>
      <c r="J84" s="7">
        <f t="shared" si="5"/>
        <v>42</v>
      </c>
      <c r="K84" s="9">
        <v>1984</v>
      </c>
      <c r="L84" s="5">
        <v>2026</v>
      </c>
      <c r="M84" s="7" t="s">
        <v>16</v>
      </c>
    </row>
    <row r="85" spans="1:13" ht="12" customHeight="1" x14ac:dyDescent="0.25">
      <c r="A85" s="4">
        <v>82</v>
      </c>
      <c r="B85" s="9">
        <v>2294</v>
      </c>
      <c r="C85" s="9" t="s">
        <v>94</v>
      </c>
      <c r="D85" s="9">
        <v>10</v>
      </c>
      <c r="E85" s="4"/>
      <c r="F85" s="7"/>
      <c r="G85" s="4">
        <v>4</v>
      </c>
      <c r="H85" s="8">
        <f t="shared" si="6"/>
        <v>9.5</v>
      </c>
      <c r="I85" s="8">
        <f t="shared" si="4"/>
        <v>0.5</v>
      </c>
      <c r="J85" s="7">
        <f t="shared" si="5"/>
        <v>42</v>
      </c>
      <c r="K85" s="9">
        <v>1984</v>
      </c>
      <c r="L85" s="5">
        <v>2026</v>
      </c>
      <c r="M85" s="7" t="s">
        <v>16</v>
      </c>
    </row>
    <row r="86" spans="1:13" ht="12" customHeight="1" x14ac:dyDescent="0.25">
      <c r="A86" s="4">
        <v>83</v>
      </c>
      <c r="B86" s="9">
        <v>2295</v>
      </c>
      <c r="C86" s="9" t="s">
        <v>95</v>
      </c>
      <c r="D86" s="9">
        <v>15</v>
      </c>
      <c r="E86" s="4"/>
      <c r="F86" s="7"/>
      <c r="G86" s="4">
        <v>4</v>
      </c>
      <c r="H86" s="8">
        <f t="shared" si="6"/>
        <v>14.25</v>
      </c>
      <c r="I86" s="8">
        <f t="shared" si="4"/>
        <v>0.75</v>
      </c>
      <c r="J86" s="7">
        <f t="shared" si="5"/>
        <v>42</v>
      </c>
      <c r="K86" s="9">
        <v>1984</v>
      </c>
      <c r="L86" s="5">
        <v>2026</v>
      </c>
      <c r="M86" s="7" t="s">
        <v>16</v>
      </c>
    </row>
    <row r="87" spans="1:13" ht="12" customHeight="1" x14ac:dyDescent="0.25">
      <c r="A87" s="4">
        <v>84</v>
      </c>
      <c r="B87" s="5">
        <v>2296</v>
      </c>
      <c r="C87" s="6" t="s">
        <v>96</v>
      </c>
      <c r="D87" s="6">
        <v>3</v>
      </c>
      <c r="E87" s="4"/>
      <c r="F87" s="7"/>
      <c r="G87" s="4">
        <v>4</v>
      </c>
      <c r="H87" s="8">
        <f t="shared" si="6"/>
        <v>2.8499999999999996</v>
      </c>
      <c r="I87" s="8">
        <f t="shared" si="4"/>
        <v>0.15000000000000036</v>
      </c>
      <c r="J87" s="7">
        <f t="shared" si="5"/>
        <v>42</v>
      </c>
      <c r="K87" s="6">
        <v>1984</v>
      </c>
      <c r="L87" s="5">
        <v>2026</v>
      </c>
      <c r="M87" s="7" t="s">
        <v>16</v>
      </c>
    </row>
    <row r="88" spans="1:13" ht="12" customHeight="1" x14ac:dyDescent="0.25">
      <c r="A88" s="4">
        <v>85</v>
      </c>
      <c r="B88" s="5">
        <v>2299</v>
      </c>
      <c r="C88" s="6" t="s">
        <v>97</v>
      </c>
      <c r="D88" s="6">
        <v>12</v>
      </c>
      <c r="E88" s="4"/>
      <c r="F88" s="7"/>
      <c r="G88" s="4">
        <v>4</v>
      </c>
      <c r="H88" s="8">
        <f t="shared" si="6"/>
        <v>11.399999999999999</v>
      </c>
      <c r="I88" s="8">
        <f t="shared" si="4"/>
        <v>0.60000000000000142</v>
      </c>
      <c r="J88" s="7">
        <f t="shared" si="5"/>
        <v>42</v>
      </c>
      <c r="K88" s="6">
        <v>1984</v>
      </c>
      <c r="L88" s="5">
        <v>2026</v>
      </c>
      <c r="M88" s="7" t="s">
        <v>16</v>
      </c>
    </row>
    <row r="89" spans="1:13" ht="12" customHeight="1" x14ac:dyDescent="0.25">
      <c r="A89" s="4">
        <v>86</v>
      </c>
      <c r="B89" s="9">
        <v>2300</v>
      </c>
      <c r="C89" s="9" t="s">
        <v>98</v>
      </c>
      <c r="D89" s="9">
        <v>30</v>
      </c>
      <c r="E89" s="4"/>
      <c r="F89" s="7"/>
      <c r="G89" s="4">
        <v>4</v>
      </c>
      <c r="H89" s="8">
        <f t="shared" si="6"/>
        <v>28.5</v>
      </c>
      <c r="I89" s="8">
        <f t="shared" si="4"/>
        <v>1.5</v>
      </c>
      <c r="J89" s="7">
        <f t="shared" si="5"/>
        <v>42</v>
      </c>
      <c r="K89" s="9">
        <v>1984</v>
      </c>
      <c r="L89" s="5">
        <v>2026</v>
      </c>
      <c r="M89" s="7" t="s">
        <v>16</v>
      </c>
    </row>
    <row r="90" spans="1:13" ht="12" customHeight="1" x14ac:dyDescent="0.25">
      <c r="A90" s="4">
        <v>87</v>
      </c>
      <c r="B90" s="5">
        <v>2301</v>
      </c>
      <c r="C90" s="6" t="s">
        <v>99</v>
      </c>
      <c r="D90" s="5">
        <v>8</v>
      </c>
      <c r="E90" s="4"/>
      <c r="F90" s="7"/>
      <c r="G90" s="4">
        <v>4</v>
      </c>
      <c r="H90" s="8">
        <f t="shared" si="6"/>
        <v>7.6</v>
      </c>
      <c r="I90" s="8">
        <f t="shared" si="4"/>
        <v>0.40000000000000036</v>
      </c>
      <c r="J90" s="7">
        <f t="shared" si="5"/>
        <v>42</v>
      </c>
      <c r="K90" s="5">
        <v>1984</v>
      </c>
      <c r="L90" s="5">
        <v>2026</v>
      </c>
      <c r="M90" s="7" t="s">
        <v>16</v>
      </c>
    </row>
    <row r="91" spans="1:13" ht="12" customHeight="1" x14ac:dyDescent="0.25">
      <c r="A91" s="4">
        <v>88</v>
      </c>
      <c r="B91" s="9">
        <v>2389</v>
      </c>
      <c r="C91" s="9" t="s">
        <v>100</v>
      </c>
      <c r="D91" s="9">
        <v>50</v>
      </c>
      <c r="E91" s="4"/>
      <c r="F91" s="7"/>
      <c r="G91" s="4">
        <v>4</v>
      </c>
      <c r="H91" s="8">
        <f t="shared" si="6"/>
        <v>47.5</v>
      </c>
      <c r="I91" s="8">
        <f t="shared" si="4"/>
        <v>2.5</v>
      </c>
      <c r="J91" s="7">
        <f t="shared" si="5"/>
        <v>41</v>
      </c>
      <c r="K91" s="9">
        <v>1985</v>
      </c>
      <c r="L91" s="5">
        <v>2026</v>
      </c>
      <c r="M91" s="7" t="s">
        <v>16</v>
      </c>
    </row>
    <row r="92" spans="1:13" ht="12" customHeight="1" x14ac:dyDescent="0.25">
      <c r="A92" s="4">
        <v>89</v>
      </c>
      <c r="B92" s="5">
        <v>2396</v>
      </c>
      <c r="C92" s="6" t="s">
        <v>101</v>
      </c>
      <c r="D92" s="6">
        <v>28.5</v>
      </c>
      <c r="E92" s="4"/>
      <c r="F92" s="7"/>
      <c r="G92" s="4">
        <v>4</v>
      </c>
      <c r="H92" s="8">
        <f t="shared" si="6"/>
        <v>27.074999999999999</v>
      </c>
      <c r="I92" s="8">
        <f t="shared" si="4"/>
        <v>1.4250000000000007</v>
      </c>
      <c r="J92" s="7">
        <f t="shared" si="5"/>
        <v>41</v>
      </c>
      <c r="K92" s="6">
        <v>1985</v>
      </c>
      <c r="L92" s="5">
        <v>2026</v>
      </c>
      <c r="M92" s="7" t="s">
        <v>16</v>
      </c>
    </row>
    <row r="93" spans="1:13" ht="12" customHeight="1" x14ac:dyDescent="0.25">
      <c r="A93" s="4">
        <v>90</v>
      </c>
      <c r="B93" s="9">
        <v>2397</v>
      </c>
      <c r="C93" s="9" t="s">
        <v>102</v>
      </c>
      <c r="D93" s="9">
        <v>131</v>
      </c>
      <c r="E93" s="4"/>
      <c r="F93" s="7"/>
      <c r="G93" s="4">
        <v>4</v>
      </c>
      <c r="H93" s="8">
        <f t="shared" si="6"/>
        <v>124.44999999999999</v>
      </c>
      <c r="I93" s="8">
        <f t="shared" si="4"/>
        <v>6.5500000000000114</v>
      </c>
      <c r="J93" s="7">
        <f t="shared" si="5"/>
        <v>41</v>
      </c>
      <c r="K93" s="9">
        <v>1985</v>
      </c>
      <c r="L93" s="5">
        <v>2026</v>
      </c>
      <c r="M93" s="7" t="s">
        <v>16</v>
      </c>
    </row>
    <row r="94" spans="1:13" ht="12" customHeight="1" x14ac:dyDescent="0.25">
      <c r="A94" s="4">
        <v>91</v>
      </c>
      <c r="B94" s="9">
        <v>2398</v>
      </c>
      <c r="C94" s="9" t="s">
        <v>103</v>
      </c>
      <c r="D94" s="9">
        <v>18</v>
      </c>
      <c r="E94" s="4"/>
      <c r="F94" s="7"/>
      <c r="G94" s="4">
        <v>4</v>
      </c>
      <c r="H94" s="8">
        <f t="shared" si="6"/>
        <v>17.099999999999998</v>
      </c>
      <c r="I94" s="8">
        <f t="shared" si="4"/>
        <v>0.90000000000000213</v>
      </c>
      <c r="J94" s="7">
        <f t="shared" si="5"/>
        <v>41</v>
      </c>
      <c r="K94" s="9">
        <v>1985</v>
      </c>
      <c r="L94" s="5">
        <v>2026</v>
      </c>
      <c r="M94" s="7" t="s">
        <v>16</v>
      </c>
    </row>
    <row r="95" spans="1:13" ht="12" customHeight="1" x14ac:dyDescent="0.25">
      <c r="A95" s="4">
        <v>92</v>
      </c>
      <c r="B95" s="5">
        <v>2400</v>
      </c>
      <c r="C95" s="6" t="s">
        <v>104</v>
      </c>
      <c r="D95" s="5">
        <v>18</v>
      </c>
      <c r="E95" s="4"/>
      <c r="F95" s="7"/>
      <c r="G95" s="4">
        <v>4</v>
      </c>
      <c r="H95" s="8">
        <f t="shared" si="6"/>
        <v>17.099999999999998</v>
      </c>
      <c r="I95" s="8">
        <f t="shared" si="4"/>
        <v>0.90000000000000213</v>
      </c>
      <c r="J95" s="7">
        <f t="shared" si="5"/>
        <v>41</v>
      </c>
      <c r="K95" s="5">
        <v>1985</v>
      </c>
      <c r="L95" s="5">
        <v>2026</v>
      </c>
      <c r="M95" s="7" t="s">
        <v>16</v>
      </c>
    </row>
    <row r="96" spans="1:13" ht="12" customHeight="1" x14ac:dyDescent="0.25">
      <c r="A96" s="4">
        <v>93</v>
      </c>
      <c r="B96" s="5">
        <v>2402</v>
      </c>
      <c r="C96" s="6" t="s">
        <v>105</v>
      </c>
      <c r="D96" s="5">
        <v>20</v>
      </c>
      <c r="E96" s="4"/>
      <c r="F96" s="7"/>
      <c r="G96" s="4">
        <v>4</v>
      </c>
      <c r="H96" s="8">
        <f t="shared" si="6"/>
        <v>19</v>
      </c>
      <c r="I96" s="8">
        <f t="shared" si="4"/>
        <v>1</v>
      </c>
      <c r="J96" s="7">
        <f t="shared" si="5"/>
        <v>41</v>
      </c>
      <c r="K96" s="5">
        <v>1985</v>
      </c>
      <c r="L96" s="5">
        <v>2026</v>
      </c>
      <c r="M96" s="7" t="s">
        <v>16</v>
      </c>
    </row>
    <row r="97" spans="1:13" ht="12" customHeight="1" x14ac:dyDescent="0.25">
      <c r="A97" s="4">
        <v>94</v>
      </c>
      <c r="B97" s="9">
        <v>2403</v>
      </c>
      <c r="C97" s="9" t="s">
        <v>106</v>
      </c>
      <c r="D97" s="9">
        <v>20</v>
      </c>
      <c r="E97" s="4"/>
      <c r="F97" s="7"/>
      <c r="G97" s="4">
        <v>4</v>
      </c>
      <c r="H97" s="8">
        <f t="shared" si="6"/>
        <v>19</v>
      </c>
      <c r="I97" s="8">
        <f t="shared" si="4"/>
        <v>1</v>
      </c>
      <c r="J97" s="7">
        <f t="shared" si="5"/>
        <v>41</v>
      </c>
      <c r="K97" s="9">
        <v>1985</v>
      </c>
      <c r="L97" s="5">
        <v>2026</v>
      </c>
      <c r="M97" s="7" t="s">
        <v>16</v>
      </c>
    </row>
    <row r="98" spans="1:13" ht="12" customHeight="1" x14ac:dyDescent="0.25">
      <c r="A98" s="4">
        <v>95</v>
      </c>
      <c r="B98" s="5">
        <v>2446</v>
      </c>
      <c r="C98" s="6" t="s">
        <v>107</v>
      </c>
      <c r="D98" s="6">
        <v>9.1999999999999993</v>
      </c>
      <c r="E98" s="4"/>
      <c r="F98" s="7"/>
      <c r="G98" s="4">
        <v>4</v>
      </c>
      <c r="H98" s="8">
        <f t="shared" si="6"/>
        <v>8.7399999999999984</v>
      </c>
      <c r="I98" s="8">
        <f t="shared" si="4"/>
        <v>0.46000000000000085</v>
      </c>
      <c r="J98" s="7">
        <f t="shared" si="5"/>
        <v>43</v>
      </c>
      <c r="K98" s="6">
        <v>1983</v>
      </c>
      <c r="L98" s="5">
        <v>2026</v>
      </c>
      <c r="M98" s="7" t="s">
        <v>16</v>
      </c>
    </row>
    <row r="99" spans="1:13" ht="12" customHeight="1" x14ac:dyDescent="0.25">
      <c r="A99" s="4">
        <v>96</v>
      </c>
      <c r="B99" s="5">
        <v>2465</v>
      </c>
      <c r="C99" s="6" t="s">
        <v>108</v>
      </c>
      <c r="D99" s="5">
        <v>5</v>
      </c>
      <c r="E99" s="4"/>
      <c r="F99" s="7"/>
      <c r="G99" s="4">
        <v>4</v>
      </c>
      <c r="H99" s="8">
        <f t="shared" si="6"/>
        <v>4.75</v>
      </c>
      <c r="I99" s="8">
        <f t="shared" si="4"/>
        <v>0.25</v>
      </c>
      <c r="J99" s="7">
        <f t="shared" si="5"/>
        <v>41</v>
      </c>
      <c r="K99" s="5">
        <v>1985</v>
      </c>
      <c r="L99" s="5">
        <v>2026</v>
      </c>
      <c r="M99" s="7" t="s">
        <v>16</v>
      </c>
    </row>
    <row r="100" spans="1:13" ht="12" customHeight="1" x14ac:dyDescent="0.25">
      <c r="A100" s="4">
        <v>97</v>
      </c>
      <c r="B100" s="5">
        <v>2466</v>
      </c>
      <c r="C100" s="6" t="s">
        <v>109</v>
      </c>
      <c r="D100" s="6">
        <v>25</v>
      </c>
      <c r="E100" s="4"/>
      <c r="F100" s="7"/>
      <c r="G100" s="4">
        <v>4</v>
      </c>
      <c r="H100" s="8">
        <f t="shared" si="6"/>
        <v>23.75</v>
      </c>
      <c r="I100" s="8">
        <f t="shared" si="4"/>
        <v>1.25</v>
      </c>
      <c r="J100" s="7">
        <f t="shared" si="5"/>
        <v>41</v>
      </c>
      <c r="K100" s="6">
        <v>1985</v>
      </c>
      <c r="L100" s="5">
        <v>2026</v>
      </c>
      <c r="M100" s="7" t="s">
        <v>16</v>
      </c>
    </row>
    <row r="101" spans="1:13" ht="12" customHeight="1" x14ac:dyDescent="0.25">
      <c r="A101" s="4">
        <v>98</v>
      </c>
      <c r="B101" s="9">
        <v>2478</v>
      </c>
      <c r="C101" s="9" t="s">
        <v>110</v>
      </c>
      <c r="D101" s="9">
        <v>8</v>
      </c>
      <c r="E101" s="4"/>
      <c r="F101" s="7"/>
      <c r="G101" s="4">
        <v>4</v>
      </c>
      <c r="H101" s="8">
        <f t="shared" si="6"/>
        <v>7.6</v>
      </c>
      <c r="I101" s="8">
        <f t="shared" si="4"/>
        <v>0.40000000000000036</v>
      </c>
      <c r="J101" s="7">
        <f t="shared" si="5"/>
        <v>41</v>
      </c>
      <c r="K101" s="9">
        <v>1985</v>
      </c>
      <c r="L101" s="5">
        <v>2026</v>
      </c>
      <c r="M101" s="7" t="s">
        <v>16</v>
      </c>
    </row>
    <row r="102" spans="1:13" ht="12" customHeight="1" x14ac:dyDescent="0.25">
      <c r="A102" s="4">
        <v>99</v>
      </c>
      <c r="B102" s="5">
        <v>2480</v>
      </c>
      <c r="C102" s="6" t="s">
        <v>111</v>
      </c>
      <c r="D102" s="5">
        <v>8</v>
      </c>
      <c r="E102" s="4"/>
      <c r="F102" s="7"/>
      <c r="G102" s="4">
        <v>4</v>
      </c>
      <c r="H102" s="8">
        <f t="shared" si="6"/>
        <v>7.6</v>
      </c>
      <c r="I102" s="8">
        <f t="shared" si="4"/>
        <v>0.40000000000000036</v>
      </c>
      <c r="J102" s="7">
        <f t="shared" si="5"/>
        <v>41</v>
      </c>
      <c r="K102" s="5">
        <v>1985</v>
      </c>
      <c r="L102" s="5">
        <v>2026</v>
      </c>
      <c r="M102" s="7" t="s">
        <v>16</v>
      </c>
    </row>
    <row r="103" spans="1:13" ht="12" customHeight="1" x14ac:dyDescent="0.25">
      <c r="A103" s="4">
        <v>100</v>
      </c>
      <c r="B103" s="9">
        <v>2484</v>
      </c>
      <c r="C103" s="9" t="s">
        <v>112</v>
      </c>
      <c r="D103" s="9">
        <v>8</v>
      </c>
      <c r="E103" s="4"/>
      <c r="F103" s="7"/>
      <c r="G103" s="4">
        <v>4</v>
      </c>
      <c r="H103" s="8">
        <f t="shared" si="6"/>
        <v>7.6</v>
      </c>
      <c r="I103" s="8">
        <f t="shared" si="4"/>
        <v>0.40000000000000036</v>
      </c>
      <c r="J103" s="7">
        <f t="shared" si="5"/>
        <v>41</v>
      </c>
      <c r="K103" s="9">
        <v>1985</v>
      </c>
      <c r="L103" s="5">
        <v>2026</v>
      </c>
      <c r="M103" s="7" t="s">
        <v>16</v>
      </c>
    </row>
    <row r="104" spans="1:13" ht="12" customHeight="1" x14ac:dyDescent="0.25">
      <c r="A104" s="4">
        <v>101</v>
      </c>
      <c r="B104" s="5">
        <v>2485</v>
      </c>
      <c r="C104" s="6" t="s">
        <v>113</v>
      </c>
      <c r="D104" s="6">
        <v>8</v>
      </c>
      <c r="E104" s="4"/>
      <c r="F104" s="7"/>
      <c r="G104" s="4">
        <v>4</v>
      </c>
      <c r="H104" s="8">
        <f t="shared" si="6"/>
        <v>7.6</v>
      </c>
      <c r="I104" s="8">
        <f t="shared" si="4"/>
        <v>0.40000000000000036</v>
      </c>
      <c r="J104" s="7">
        <f t="shared" si="5"/>
        <v>41</v>
      </c>
      <c r="K104" s="6">
        <v>1985</v>
      </c>
      <c r="L104" s="5">
        <v>2026</v>
      </c>
      <c r="M104" s="7" t="s">
        <v>16</v>
      </c>
    </row>
    <row r="105" spans="1:13" ht="12" customHeight="1" x14ac:dyDescent="0.25">
      <c r="A105" s="4">
        <v>102</v>
      </c>
      <c r="B105" s="5">
        <v>2487</v>
      </c>
      <c r="C105" s="6" t="s">
        <v>114</v>
      </c>
      <c r="D105" s="5">
        <v>8</v>
      </c>
      <c r="E105" s="4"/>
      <c r="F105" s="7"/>
      <c r="G105" s="4">
        <v>4</v>
      </c>
      <c r="H105" s="8">
        <f t="shared" si="6"/>
        <v>7.6</v>
      </c>
      <c r="I105" s="8">
        <f t="shared" si="4"/>
        <v>0.40000000000000036</v>
      </c>
      <c r="J105" s="7">
        <f t="shared" si="5"/>
        <v>41</v>
      </c>
      <c r="K105" s="5">
        <v>1985</v>
      </c>
      <c r="L105" s="5">
        <v>2026</v>
      </c>
      <c r="M105" s="7" t="s">
        <v>16</v>
      </c>
    </row>
    <row r="106" spans="1:13" ht="12" customHeight="1" x14ac:dyDescent="0.25">
      <c r="A106" s="4">
        <v>103</v>
      </c>
      <c r="B106" s="5">
        <v>2494</v>
      </c>
      <c r="C106" s="6" t="s">
        <v>115</v>
      </c>
      <c r="D106" s="5">
        <v>20</v>
      </c>
      <c r="E106" s="4"/>
      <c r="F106" s="7"/>
      <c r="G106" s="4">
        <v>4</v>
      </c>
      <c r="H106" s="8">
        <f t="shared" si="6"/>
        <v>19</v>
      </c>
      <c r="I106" s="8">
        <f t="shared" si="4"/>
        <v>1</v>
      </c>
      <c r="J106" s="7">
        <f t="shared" si="5"/>
        <v>41</v>
      </c>
      <c r="K106" s="5">
        <v>1985</v>
      </c>
      <c r="L106" s="5">
        <v>2026</v>
      </c>
      <c r="M106" s="7" t="s">
        <v>16</v>
      </c>
    </row>
    <row r="107" spans="1:13" ht="12" customHeight="1" x14ac:dyDescent="0.25">
      <c r="A107" s="4">
        <v>104</v>
      </c>
      <c r="B107" s="5">
        <v>2496</v>
      </c>
      <c r="C107" s="6" t="s">
        <v>116</v>
      </c>
      <c r="D107" s="6">
        <v>20</v>
      </c>
      <c r="E107" s="4"/>
      <c r="F107" s="7"/>
      <c r="G107" s="4">
        <v>4</v>
      </c>
      <c r="H107" s="8">
        <f t="shared" si="6"/>
        <v>19</v>
      </c>
      <c r="I107" s="8">
        <f t="shared" si="4"/>
        <v>1</v>
      </c>
      <c r="J107" s="7">
        <f t="shared" si="5"/>
        <v>41</v>
      </c>
      <c r="K107" s="6">
        <v>1985</v>
      </c>
      <c r="L107" s="5">
        <v>2026</v>
      </c>
      <c r="M107" s="7" t="s">
        <v>16</v>
      </c>
    </row>
    <row r="108" spans="1:13" ht="12" customHeight="1" x14ac:dyDescent="0.25">
      <c r="A108" s="4">
        <v>105</v>
      </c>
      <c r="B108" s="5">
        <v>2500</v>
      </c>
      <c r="C108" s="6" t="s">
        <v>117</v>
      </c>
      <c r="D108" s="5">
        <v>20</v>
      </c>
      <c r="E108" s="4"/>
      <c r="F108" s="7"/>
      <c r="G108" s="4">
        <v>4</v>
      </c>
      <c r="H108" s="8">
        <f t="shared" si="6"/>
        <v>19</v>
      </c>
      <c r="I108" s="8">
        <f t="shared" si="4"/>
        <v>1</v>
      </c>
      <c r="J108" s="7">
        <f t="shared" si="5"/>
        <v>41</v>
      </c>
      <c r="K108" s="5">
        <v>1985</v>
      </c>
      <c r="L108" s="5">
        <v>2026</v>
      </c>
      <c r="M108" s="7" t="s">
        <v>16</v>
      </c>
    </row>
    <row r="109" spans="1:13" ht="12" customHeight="1" x14ac:dyDescent="0.25">
      <c r="A109" s="4">
        <v>106</v>
      </c>
      <c r="B109" s="5">
        <v>2511</v>
      </c>
      <c r="C109" s="6" t="s">
        <v>118</v>
      </c>
      <c r="D109" s="5">
        <v>5</v>
      </c>
      <c r="E109" s="4"/>
      <c r="F109" s="7"/>
      <c r="G109" s="4">
        <v>4</v>
      </c>
      <c r="H109" s="8">
        <f t="shared" si="6"/>
        <v>4.75</v>
      </c>
      <c r="I109" s="8">
        <f t="shared" si="4"/>
        <v>0.25</v>
      </c>
      <c r="J109" s="7">
        <f t="shared" si="5"/>
        <v>41</v>
      </c>
      <c r="K109" s="5">
        <v>1985</v>
      </c>
      <c r="L109" s="5">
        <v>2026</v>
      </c>
      <c r="M109" s="7" t="s">
        <v>16</v>
      </c>
    </row>
    <row r="110" spans="1:13" ht="12" customHeight="1" x14ac:dyDescent="0.25">
      <c r="A110" s="4">
        <v>107</v>
      </c>
      <c r="B110" s="9">
        <v>2518</v>
      </c>
      <c r="C110" s="9" t="s">
        <v>119</v>
      </c>
      <c r="D110" s="9">
        <v>56</v>
      </c>
      <c r="E110" s="4"/>
      <c r="F110" s="7"/>
      <c r="G110" s="4">
        <v>4</v>
      </c>
      <c r="H110" s="8">
        <f t="shared" si="6"/>
        <v>53.199999999999996</v>
      </c>
      <c r="I110" s="8">
        <f t="shared" si="4"/>
        <v>2.8000000000000043</v>
      </c>
      <c r="J110" s="7">
        <f t="shared" si="5"/>
        <v>41</v>
      </c>
      <c r="K110" s="9">
        <v>1985</v>
      </c>
      <c r="L110" s="5">
        <v>2026</v>
      </c>
      <c r="M110" s="7" t="s">
        <v>16</v>
      </c>
    </row>
    <row r="111" spans="1:13" ht="12" customHeight="1" x14ac:dyDescent="0.25">
      <c r="A111" s="4">
        <v>108</v>
      </c>
      <c r="B111" s="5">
        <v>2520</v>
      </c>
      <c r="C111" s="6" t="s">
        <v>120</v>
      </c>
      <c r="D111" s="6">
        <v>40</v>
      </c>
      <c r="E111" s="4"/>
      <c r="F111" s="7"/>
      <c r="G111" s="4">
        <v>4</v>
      </c>
      <c r="H111" s="8">
        <f t="shared" si="6"/>
        <v>38</v>
      </c>
      <c r="I111" s="8">
        <f t="shared" si="4"/>
        <v>2</v>
      </c>
      <c r="J111" s="7">
        <f t="shared" si="5"/>
        <v>41</v>
      </c>
      <c r="K111" s="6">
        <v>1985</v>
      </c>
      <c r="L111" s="5">
        <v>2026</v>
      </c>
      <c r="M111" s="7" t="s">
        <v>16</v>
      </c>
    </row>
    <row r="112" spans="1:13" ht="12" customHeight="1" x14ac:dyDescent="0.25">
      <c r="A112" s="4">
        <v>109</v>
      </c>
      <c r="B112" s="5">
        <v>2522</v>
      </c>
      <c r="C112" s="6" t="s">
        <v>121</v>
      </c>
      <c r="D112" s="6">
        <v>40</v>
      </c>
      <c r="E112" s="4"/>
      <c r="F112" s="7"/>
      <c r="G112" s="4">
        <v>4</v>
      </c>
      <c r="H112" s="8">
        <f t="shared" si="6"/>
        <v>38</v>
      </c>
      <c r="I112" s="8">
        <f t="shared" si="4"/>
        <v>2</v>
      </c>
      <c r="J112" s="7">
        <f t="shared" si="5"/>
        <v>41</v>
      </c>
      <c r="K112" s="6">
        <v>1985</v>
      </c>
      <c r="L112" s="5">
        <v>2026</v>
      </c>
      <c r="M112" s="7" t="s">
        <v>16</v>
      </c>
    </row>
    <row r="113" spans="1:13" ht="12" customHeight="1" x14ac:dyDescent="0.25">
      <c r="A113" s="4">
        <v>110</v>
      </c>
      <c r="B113" s="5">
        <v>2523</v>
      </c>
      <c r="C113" s="6" t="s">
        <v>122</v>
      </c>
      <c r="D113" s="6">
        <v>40</v>
      </c>
      <c r="E113" s="4"/>
      <c r="F113" s="7"/>
      <c r="G113" s="4">
        <v>4</v>
      </c>
      <c r="H113" s="8">
        <f t="shared" si="6"/>
        <v>38</v>
      </c>
      <c r="I113" s="8">
        <f t="shared" si="4"/>
        <v>2</v>
      </c>
      <c r="J113" s="7">
        <f t="shared" si="5"/>
        <v>41</v>
      </c>
      <c r="K113" s="6">
        <v>1985</v>
      </c>
      <c r="L113" s="5">
        <v>2026</v>
      </c>
      <c r="M113" s="7" t="s">
        <v>16</v>
      </c>
    </row>
    <row r="114" spans="1:13" ht="12" customHeight="1" x14ac:dyDescent="0.25">
      <c r="A114" s="4">
        <v>111</v>
      </c>
      <c r="B114" s="5">
        <v>2528</v>
      </c>
      <c r="C114" s="6" t="s">
        <v>123</v>
      </c>
      <c r="D114" s="5">
        <v>90</v>
      </c>
      <c r="E114" s="4"/>
      <c r="F114" s="7"/>
      <c r="G114" s="4">
        <v>4</v>
      </c>
      <c r="H114" s="8">
        <f t="shared" si="6"/>
        <v>85.5</v>
      </c>
      <c r="I114" s="8">
        <f t="shared" si="4"/>
        <v>4.5</v>
      </c>
      <c r="J114" s="7">
        <f t="shared" si="5"/>
        <v>41</v>
      </c>
      <c r="K114" s="5">
        <v>1985</v>
      </c>
      <c r="L114" s="5">
        <v>2026</v>
      </c>
      <c r="M114" s="7" t="s">
        <v>16</v>
      </c>
    </row>
    <row r="115" spans="1:13" ht="12" customHeight="1" x14ac:dyDescent="0.25">
      <c r="A115" s="4">
        <v>112</v>
      </c>
      <c r="B115" s="5">
        <v>2529</v>
      </c>
      <c r="C115" s="6" t="s">
        <v>124</v>
      </c>
      <c r="D115" s="5">
        <v>90</v>
      </c>
      <c r="E115" s="4"/>
      <c r="F115" s="7"/>
      <c r="G115" s="4">
        <v>4</v>
      </c>
      <c r="H115" s="8">
        <f t="shared" si="6"/>
        <v>85.5</v>
      </c>
      <c r="I115" s="8">
        <f t="shared" si="4"/>
        <v>4.5</v>
      </c>
      <c r="J115" s="7">
        <f t="shared" si="5"/>
        <v>41</v>
      </c>
      <c r="K115" s="5">
        <v>1985</v>
      </c>
      <c r="L115" s="5">
        <v>2026</v>
      </c>
      <c r="M115" s="7" t="s">
        <v>16</v>
      </c>
    </row>
    <row r="116" spans="1:13" ht="12" customHeight="1" x14ac:dyDescent="0.25">
      <c r="A116" s="4">
        <v>113</v>
      </c>
      <c r="B116" s="5">
        <v>2623</v>
      </c>
      <c r="C116" s="6" t="s">
        <v>125</v>
      </c>
      <c r="D116" s="6">
        <v>50</v>
      </c>
      <c r="E116" s="4"/>
      <c r="F116" s="7"/>
      <c r="G116" s="4">
        <v>4</v>
      </c>
      <c r="H116" s="8">
        <f t="shared" si="6"/>
        <v>47.5</v>
      </c>
      <c r="I116" s="8">
        <f t="shared" si="4"/>
        <v>2.5</v>
      </c>
      <c r="J116" s="7">
        <f t="shared" si="5"/>
        <v>41</v>
      </c>
      <c r="K116" s="6">
        <v>1985</v>
      </c>
      <c r="L116" s="5">
        <v>2026</v>
      </c>
      <c r="M116" s="7" t="s">
        <v>16</v>
      </c>
    </row>
    <row r="117" spans="1:13" ht="12" customHeight="1" x14ac:dyDescent="0.25">
      <c r="A117" s="4">
        <v>114</v>
      </c>
      <c r="B117" s="5">
        <v>2686</v>
      </c>
      <c r="C117" s="6" t="s">
        <v>126</v>
      </c>
      <c r="D117" s="5">
        <v>15</v>
      </c>
      <c r="E117" s="4"/>
      <c r="F117" s="7"/>
      <c r="G117" s="4">
        <v>4</v>
      </c>
      <c r="H117" s="8">
        <f t="shared" si="6"/>
        <v>14.25</v>
      </c>
      <c r="I117" s="8">
        <f t="shared" si="4"/>
        <v>0.75</v>
      </c>
      <c r="J117" s="7">
        <f t="shared" si="5"/>
        <v>41</v>
      </c>
      <c r="K117" s="5">
        <v>1985</v>
      </c>
      <c r="L117" s="5">
        <v>2026</v>
      </c>
      <c r="M117" s="7" t="s">
        <v>16</v>
      </c>
    </row>
    <row r="118" spans="1:13" ht="12" customHeight="1" x14ac:dyDescent="0.25">
      <c r="A118" s="4">
        <v>115</v>
      </c>
      <c r="B118" s="5">
        <v>2687</v>
      </c>
      <c r="C118" s="6" t="s">
        <v>127</v>
      </c>
      <c r="D118" s="5">
        <v>25</v>
      </c>
      <c r="E118" s="4"/>
      <c r="F118" s="7"/>
      <c r="G118" s="4">
        <v>4</v>
      </c>
      <c r="H118" s="8">
        <f t="shared" si="6"/>
        <v>23.75</v>
      </c>
      <c r="I118" s="8">
        <f t="shared" si="4"/>
        <v>1.25</v>
      </c>
      <c r="J118" s="7">
        <f t="shared" si="5"/>
        <v>41</v>
      </c>
      <c r="K118" s="5">
        <v>1985</v>
      </c>
      <c r="L118" s="5">
        <v>2026</v>
      </c>
      <c r="M118" s="7" t="s">
        <v>16</v>
      </c>
    </row>
    <row r="119" spans="1:13" ht="12" customHeight="1" x14ac:dyDescent="0.25">
      <c r="A119" s="4">
        <v>116</v>
      </c>
      <c r="B119" s="5">
        <v>2690</v>
      </c>
      <c r="C119" s="6" t="s">
        <v>128</v>
      </c>
      <c r="D119" s="5">
        <v>22.5</v>
      </c>
      <c r="E119" s="4"/>
      <c r="F119" s="7"/>
      <c r="G119" s="4">
        <v>4</v>
      </c>
      <c r="H119" s="8">
        <f t="shared" si="6"/>
        <v>21.375</v>
      </c>
      <c r="I119" s="8">
        <f t="shared" si="4"/>
        <v>1.125</v>
      </c>
      <c r="J119" s="7">
        <f t="shared" si="5"/>
        <v>41</v>
      </c>
      <c r="K119" s="5">
        <v>1985</v>
      </c>
      <c r="L119" s="5">
        <v>2026</v>
      </c>
      <c r="M119" s="7" t="s">
        <v>16</v>
      </c>
    </row>
    <row r="120" spans="1:13" ht="12" customHeight="1" x14ac:dyDescent="0.25">
      <c r="A120" s="4">
        <v>117</v>
      </c>
      <c r="B120" s="5">
        <v>2691</v>
      </c>
      <c r="C120" s="6" t="s">
        <v>129</v>
      </c>
      <c r="D120" s="5">
        <v>20</v>
      </c>
      <c r="E120" s="4"/>
      <c r="F120" s="7"/>
      <c r="G120" s="4">
        <v>4</v>
      </c>
      <c r="H120" s="8">
        <f t="shared" si="6"/>
        <v>19</v>
      </c>
      <c r="I120" s="8">
        <f t="shared" si="4"/>
        <v>1</v>
      </c>
      <c r="J120" s="7">
        <f t="shared" si="5"/>
        <v>41</v>
      </c>
      <c r="K120" s="5">
        <v>1985</v>
      </c>
      <c r="L120" s="5">
        <v>2026</v>
      </c>
      <c r="M120" s="7" t="s">
        <v>16</v>
      </c>
    </row>
    <row r="121" spans="1:13" ht="12" customHeight="1" x14ac:dyDescent="0.25">
      <c r="A121" s="4">
        <v>118</v>
      </c>
      <c r="B121" s="9">
        <v>2711</v>
      </c>
      <c r="C121" s="9" t="s">
        <v>130</v>
      </c>
      <c r="D121" s="9">
        <v>20</v>
      </c>
      <c r="E121" s="4"/>
      <c r="F121" s="7"/>
      <c r="G121" s="4">
        <v>4</v>
      </c>
      <c r="H121" s="8">
        <f t="shared" si="6"/>
        <v>19</v>
      </c>
      <c r="I121" s="8">
        <f t="shared" si="4"/>
        <v>1</v>
      </c>
      <c r="J121" s="7">
        <f t="shared" si="5"/>
        <v>41</v>
      </c>
      <c r="K121" s="9">
        <v>1985</v>
      </c>
      <c r="L121" s="5">
        <v>2026</v>
      </c>
      <c r="M121" s="7" t="s">
        <v>16</v>
      </c>
    </row>
    <row r="122" spans="1:13" ht="12" customHeight="1" x14ac:dyDescent="0.25">
      <c r="A122" s="4">
        <v>119</v>
      </c>
      <c r="B122" s="5">
        <v>2718</v>
      </c>
      <c r="C122" s="6" t="s">
        <v>131</v>
      </c>
      <c r="D122" s="6">
        <v>75</v>
      </c>
      <c r="E122" s="4"/>
      <c r="F122" s="7"/>
      <c r="G122" s="4">
        <v>4</v>
      </c>
      <c r="H122" s="8">
        <f t="shared" si="6"/>
        <v>71.25</v>
      </c>
      <c r="I122" s="8">
        <f t="shared" si="4"/>
        <v>3.75</v>
      </c>
      <c r="J122" s="7">
        <f t="shared" si="5"/>
        <v>41</v>
      </c>
      <c r="K122" s="6">
        <v>1985</v>
      </c>
      <c r="L122" s="5">
        <v>2026</v>
      </c>
      <c r="M122" s="7" t="s">
        <v>16</v>
      </c>
    </row>
    <row r="123" spans="1:13" ht="12" customHeight="1" x14ac:dyDescent="0.25">
      <c r="A123" s="4">
        <v>120</v>
      </c>
      <c r="B123" s="5">
        <v>2721</v>
      </c>
      <c r="C123" s="6" t="s">
        <v>132</v>
      </c>
      <c r="D123" s="5">
        <v>37</v>
      </c>
      <c r="E123" s="4"/>
      <c r="F123" s="7"/>
      <c r="G123" s="4">
        <v>4</v>
      </c>
      <c r="H123" s="8">
        <f t="shared" si="6"/>
        <v>35.15</v>
      </c>
      <c r="I123" s="8">
        <f t="shared" si="4"/>
        <v>1.8500000000000014</v>
      </c>
      <c r="J123" s="7">
        <f t="shared" si="5"/>
        <v>41</v>
      </c>
      <c r="K123" s="5">
        <v>1985</v>
      </c>
      <c r="L123" s="5">
        <v>2026</v>
      </c>
      <c r="M123" s="7" t="s">
        <v>16</v>
      </c>
    </row>
    <row r="124" spans="1:13" ht="12" customHeight="1" x14ac:dyDescent="0.25">
      <c r="A124" s="4">
        <v>121</v>
      </c>
      <c r="B124" s="5">
        <v>2724</v>
      </c>
      <c r="C124" s="6" t="s">
        <v>133</v>
      </c>
      <c r="D124" s="5">
        <v>20</v>
      </c>
      <c r="E124" s="4"/>
      <c r="F124" s="7"/>
      <c r="G124" s="4">
        <v>4</v>
      </c>
      <c r="H124" s="8">
        <f t="shared" si="6"/>
        <v>19</v>
      </c>
      <c r="I124" s="8">
        <f t="shared" si="4"/>
        <v>1</v>
      </c>
      <c r="J124" s="7">
        <f t="shared" si="5"/>
        <v>41</v>
      </c>
      <c r="K124" s="5">
        <v>1985</v>
      </c>
      <c r="L124" s="5">
        <v>2026</v>
      </c>
      <c r="M124" s="7" t="s">
        <v>16</v>
      </c>
    </row>
    <row r="125" spans="1:13" ht="12" customHeight="1" x14ac:dyDescent="0.25">
      <c r="A125" s="4">
        <v>122</v>
      </c>
      <c r="B125" s="5">
        <v>2847</v>
      </c>
      <c r="C125" s="6" t="s">
        <v>134</v>
      </c>
      <c r="D125" s="5">
        <v>10.1</v>
      </c>
      <c r="E125" s="4"/>
      <c r="F125" s="7"/>
      <c r="G125" s="4">
        <v>4</v>
      </c>
      <c r="H125" s="8">
        <f t="shared" si="6"/>
        <v>9.5949999999999989</v>
      </c>
      <c r="I125" s="8">
        <f t="shared" si="4"/>
        <v>0.50500000000000078</v>
      </c>
      <c r="J125" s="7">
        <f t="shared" si="5"/>
        <v>40</v>
      </c>
      <c r="K125" s="5">
        <v>1986</v>
      </c>
      <c r="L125" s="5">
        <v>2026</v>
      </c>
      <c r="M125" s="7" t="s">
        <v>16</v>
      </c>
    </row>
    <row r="126" spans="1:13" ht="12" customHeight="1" x14ac:dyDescent="0.25">
      <c r="A126" s="4">
        <v>123</v>
      </c>
      <c r="B126" s="5">
        <v>2868</v>
      </c>
      <c r="C126" s="6" t="s">
        <v>135</v>
      </c>
      <c r="D126" s="6">
        <v>70</v>
      </c>
      <c r="E126" s="4"/>
      <c r="F126" s="7"/>
      <c r="G126" s="4">
        <v>4</v>
      </c>
      <c r="H126" s="8">
        <f t="shared" si="6"/>
        <v>66.5</v>
      </c>
      <c r="I126" s="8">
        <f t="shared" si="4"/>
        <v>3.5</v>
      </c>
      <c r="J126" s="7">
        <f t="shared" si="5"/>
        <v>40</v>
      </c>
      <c r="K126" s="6">
        <v>1986</v>
      </c>
      <c r="L126" s="5">
        <v>2026</v>
      </c>
      <c r="M126" s="7" t="s">
        <v>16</v>
      </c>
    </row>
    <row r="127" spans="1:13" ht="12" customHeight="1" x14ac:dyDescent="0.25">
      <c r="A127" s="4">
        <v>124</v>
      </c>
      <c r="B127" s="5">
        <v>2869</v>
      </c>
      <c r="C127" s="6" t="s">
        <v>136</v>
      </c>
      <c r="D127" s="5">
        <v>70</v>
      </c>
      <c r="E127" s="4"/>
      <c r="F127" s="7"/>
      <c r="G127" s="4">
        <v>4</v>
      </c>
      <c r="H127" s="8">
        <f t="shared" si="6"/>
        <v>66.5</v>
      </c>
      <c r="I127" s="8">
        <f t="shared" si="4"/>
        <v>3.5</v>
      </c>
      <c r="J127" s="7">
        <f t="shared" si="5"/>
        <v>40</v>
      </c>
      <c r="K127" s="5">
        <v>1986</v>
      </c>
      <c r="L127" s="5">
        <v>2026</v>
      </c>
      <c r="M127" s="7" t="s">
        <v>16</v>
      </c>
    </row>
    <row r="128" spans="1:13" ht="12" customHeight="1" x14ac:dyDescent="0.25">
      <c r="A128" s="4">
        <v>125</v>
      </c>
      <c r="B128" s="5">
        <v>2870</v>
      </c>
      <c r="C128" s="6" t="s">
        <v>137</v>
      </c>
      <c r="D128" s="5">
        <v>50</v>
      </c>
      <c r="E128" s="4"/>
      <c r="F128" s="7"/>
      <c r="G128" s="4">
        <v>4</v>
      </c>
      <c r="H128" s="8">
        <f t="shared" si="6"/>
        <v>47.5</v>
      </c>
      <c r="I128" s="8">
        <f t="shared" si="4"/>
        <v>2.5</v>
      </c>
      <c r="J128" s="7">
        <f t="shared" si="5"/>
        <v>40</v>
      </c>
      <c r="K128" s="5">
        <v>1986</v>
      </c>
      <c r="L128" s="5">
        <v>2026</v>
      </c>
      <c r="M128" s="7" t="s">
        <v>16</v>
      </c>
    </row>
    <row r="129" spans="1:13" ht="12" customHeight="1" x14ac:dyDescent="0.25">
      <c r="A129" s="4">
        <v>126</v>
      </c>
      <c r="B129" s="5">
        <v>2887</v>
      </c>
      <c r="C129" s="6" t="s">
        <v>138</v>
      </c>
      <c r="D129" s="5">
        <v>22.5</v>
      </c>
      <c r="E129" s="4"/>
      <c r="F129" s="7"/>
      <c r="G129" s="4">
        <v>4</v>
      </c>
      <c r="H129" s="8">
        <f t="shared" si="6"/>
        <v>21.375</v>
      </c>
      <c r="I129" s="8">
        <f t="shared" si="4"/>
        <v>1.125</v>
      </c>
      <c r="J129" s="7">
        <f t="shared" si="5"/>
        <v>40</v>
      </c>
      <c r="K129" s="5">
        <v>1986</v>
      </c>
      <c r="L129" s="5">
        <v>2026</v>
      </c>
      <c r="M129" s="7" t="s">
        <v>16</v>
      </c>
    </row>
    <row r="130" spans="1:13" ht="12" customHeight="1" x14ac:dyDescent="0.25">
      <c r="A130" s="4">
        <v>127</v>
      </c>
      <c r="B130" s="5">
        <v>2890</v>
      </c>
      <c r="C130" s="6" t="s">
        <v>139</v>
      </c>
      <c r="D130" s="5">
        <v>35</v>
      </c>
      <c r="E130" s="4"/>
      <c r="F130" s="7"/>
      <c r="G130" s="4">
        <v>4</v>
      </c>
      <c r="H130" s="8">
        <f t="shared" si="6"/>
        <v>33.25</v>
      </c>
      <c r="I130" s="8">
        <f t="shared" si="4"/>
        <v>1.75</v>
      </c>
      <c r="J130" s="7">
        <f t="shared" si="5"/>
        <v>40</v>
      </c>
      <c r="K130" s="5">
        <v>1986</v>
      </c>
      <c r="L130" s="5">
        <v>2026</v>
      </c>
      <c r="M130" s="7" t="s">
        <v>16</v>
      </c>
    </row>
    <row r="131" spans="1:13" ht="12" customHeight="1" x14ac:dyDescent="0.25">
      <c r="A131" s="4">
        <v>128</v>
      </c>
      <c r="B131" s="5">
        <v>2900</v>
      </c>
      <c r="C131" s="6" t="s">
        <v>140</v>
      </c>
      <c r="D131" s="5">
        <v>15</v>
      </c>
      <c r="E131" s="4"/>
      <c r="F131" s="7"/>
      <c r="G131" s="4">
        <v>4</v>
      </c>
      <c r="H131" s="8">
        <f t="shared" si="6"/>
        <v>14.25</v>
      </c>
      <c r="I131" s="8">
        <f t="shared" si="4"/>
        <v>0.75</v>
      </c>
      <c r="J131" s="7">
        <f t="shared" si="5"/>
        <v>40</v>
      </c>
      <c r="K131" s="5">
        <v>1986</v>
      </c>
      <c r="L131" s="5">
        <v>2026</v>
      </c>
      <c r="M131" s="7" t="s">
        <v>16</v>
      </c>
    </row>
    <row r="132" spans="1:13" ht="12" customHeight="1" x14ac:dyDescent="0.25">
      <c r="A132" s="4">
        <v>129</v>
      </c>
      <c r="B132" s="5">
        <v>2901</v>
      </c>
      <c r="C132" s="6" t="s">
        <v>141</v>
      </c>
      <c r="D132" s="6">
        <v>15</v>
      </c>
      <c r="E132" s="4"/>
      <c r="F132" s="7"/>
      <c r="G132" s="4">
        <v>4</v>
      </c>
      <c r="H132" s="8">
        <f t="shared" si="6"/>
        <v>14.25</v>
      </c>
      <c r="I132" s="8">
        <f t="shared" ref="I132:I195" si="7">(D132-H132)</f>
        <v>0.75</v>
      </c>
      <c r="J132" s="7">
        <f t="shared" ref="J132:J195" si="8">(L132-K132)</f>
        <v>40</v>
      </c>
      <c r="K132" s="6">
        <v>1986</v>
      </c>
      <c r="L132" s="5">
        <v>2026</v>
      </c>
      <c r="M132" s="7" t="s">
        <v>16</v>
      </c>
    </row>
    <row r="133" spans="1:13" ht="12" customHeight="1" x14ac:dyDescent="0.25">
      <c r="A133" s="4">
        <v>130</v>
      </c>
      <c r="B133" s="5">
        <v>2918</v>
      </c>
      <c r="C133" s="6" t="s">
        <v>142</v>
      </c>
      <c r="D133" s="5">
        <v>15</v>
      </c>
      <c r="E133" s="4"/>
      <c r="F133" s="7"/>
      <c r="G133" s="4">
        <v>4</v>
      </c>
      <c r="H133" s="8">
        <f t="shared" ref="H133:H196" si="9">D133*0.95</f>
        <v>14.25</v>
      </c>
      <c r="I133" s="8">
        <f t="shared" si="7"/>
        <v>0.75</v>
      </c>
      <c r="J133" s="7">
        <f t="shared" si="8"/>
        <v>40</v>
      </c>
      <c r="K133" s="5">
        <v>1986</v>
      </c>
      <c r="L133" s="5">
        <v>2026</v>
      </c>
      <c r="M133" s="7" t="s">
        <v>16</v>
      </c>
    </row>
    <row r="134" spans="1:13" ht="12" customHeight="1" x14ac:dyDescent="0.25">
      <c r="A134" s="4">
        <v>131</v>
      </c>
      <c r="B134" s="5">
        <v>2921</v>
      </c>
      <c r="C134" s="6" t="s">
        <v>143</v>
      </c>
      <c r="D134" s="5">
        <v>21</v>
      </c>
      <c r="E134" s="4"/>
      <c r="F134" s="7"/>
      <c r="G134" s="4">
        <v>4</v>
      </c>
      <c r="H134" s="8">
        <f t="shared" si="9"/>
        <v>19.95</v>
      </c>
      <c r="I134" s="8">
        <f t="shared" si="7"/>
        <v>1.0500000000000007</v>
      </c>
      <c r="J134" s="7">
        <f t="shared" si="8"/>
        <v>38</v>
      </c>
      <c r="K134" s="5">
        <v>1988</v>
      </c>
      <c r="L134" s="5">
        <v>2026</v>
      </c>
      <c r="M134" s="7" t="s">
        <v>16</v>
      </c>
    </row>
    <row r="135" spans="1:13" ht="12" customHeight="1" x14ac:dyDescent="0.25">
      <c r="A135" s="4">
        <v>132</v>
      </c>
      <c r="B135" s="9">
        <v>2926</v>
      </c>
      <c r="C135" s="9" t="s">
        <v>144</v>
      </c>
      <c r="D135" s="9">
        <v>30</v>
      </c>
      <c r="E135" s="4"/>
      <c r="F135" s="7"/>
      <c r="G135" s="4">
        <v>4</v>
      </c>
      <c r="H135" s="8">
        <f t="shared" si="9"/>
        <v>28.5</v>
      </c>
      <c r="I135" s="8">
        <f t="shared" si="7"/>
        <v>1.5</v>
      </c>
      <c r="J135" s="7">
        <f t="shared" si="8"/>
        <v>40</v>
      </c>
      <c r="K135" s="9">
        <v>1986</v>
      </c>
      <c r="L135" s="5">
        <v>2026</v>
      </c>
      <c r="M135" s="7" t="s">
        <v>16</v>
      </c>
    </row>
    <row r="136" spans="1:13" ht="12" customHeight="1" x14ac:dyDescent="0.25">
      <c r="A136" s="4">
        <v>133</v>
      </c>
      <c r="B136" s="5">
        <v>2954</v>
      </c>
      <c r="C136" s="6" t="s">
        <v>145</v>
      </c>
      <c r="D136" s="5">
        <v>35</v>
      </c>
      <c r="E136" s="4"/>
      <c r="F136" s="7"/>
      <c r="G136" s="4">
        <v>4</v>
      </c>
      <c r="H136" s="8">
        <f t="shared" si="9"/>
        <v>33.25</v>
      </c>
      <c r="I136" s="8">
        <f t="shared" si="7"/>
        <v>1.75</v>
      </c>
      <c r="J136" s="7">
        <f t="shared" si="8"/>
        <v>40</v>
      </c>
      <c r="K136" s="5">
        <v>1986</v>
      </c>
      <c r="L136" s="5">
        <v>2026</v>
      </c>
      <c r="M136" s="7" t="s">
        <v>16</v>
      </c>
    </row>
    <row r="137" spans="1:13" ht="12" customHeight="1" x14ac:dyDescent="0.25">
      <c r="A137" s="4">
        <v>134</v>
      </c>
      <c r="B137" s="5">
        <v>2989</v>
      </c>
      <c r="C137" s="6" t="s">
        <v>146</v>
      </c>
      <c r="D137" s="5">
        <v>20</v>
      </c>
      <c r="E137" s="4"/>
      <c r="F137" s="7"/>
      <c r="G137" s="4">
        <v>4</v>
      </c>
      <c r="H137" s="8">
        <f t="shared" si="9"/>
        <v>19</v>
      </c>
      <c r="I137" s="8">
        <f t="shared" si="7"/>
        <v>1</v>
      </c>
      <c r="J137" s="7">
        <f t="shared" si="8"/>
        <v>40</v>
      </c>
      <c r="K137" s="5">
        <v>1986</v>
      </c>
      <c r="L137" s="5">
        <v>2026</v>
      </c>
      <c r="M137" s="7" t="s">
        <v>16</v>
      </c>
    </row>
    <row r="138" spans="1:13" ht="12" customHeight="1" x14ac:dyDescent="0.25">
      <c r="A138" s="4">
        <v>135</v>
      </c>
      <c r="B138" s="5">
        <v>2999</v>
      </c>
      <c r="C138" s="6" t="s">
        <v>147</v>
      </c>
      <c r="D138" s="5">
        <v>120</v>
      </c>
      <c r="E138" s="4"/>
      <c r="F138" s="7"/>
      <c r="G138" s="4">
        <v>4</v>
      </c>
      <c r="H138" s="8">
        <f t="shared" si="9"/>
        <v>114</v>
      </c>
      <c r="I138" s="8">
        <f t="shared" si="7"/>
        <v>6</v>
      </c>
      <c r="J138" s="7">
        <f t="shared" si="8"/>
        <v>40</v>
      </c>
      <c r="K138" s="5">
        <v>1986</v>
      </c>
      <c r="L138" s="5">
        <v>2026</v>
      </c>
      <c r="M138" s="7" t="s">
        <v>16</v>
      </c>
    </row>
    <row r="139" spans="1:13" ht="12" customHeight="1" x14ac:dyDescent="0.25">
      <c r="A139" s="4">
        <v>136</v>
      </c>
      <c r="B139" s="5">
        <v>3001</v>
      </c>
      <c r="C139" s="6" t="s">
        <v>148</v>
      </c>
      <c r="D139" s="5">
        <v>50</v>
      </c>
      <c r="E139" s="4"/>
      <c r="F139" s="7"/>
      <c r="G139" s="4">
        <v>4</v>
      </c>
      <c r="H139" s="8">
        <f t="shared" si="9"/>
        <v>47.5</v>
      </c>
      <c r="I139" s="8">
        <f t="shared" si="7"/>
        <v>2.5</v>
      </c>
      <c r="J139" s="7">
        <f t="shared" si="8"/>
        <v>40</v>
      </c>
      <c r="K139" s="5">
        <v>1986</v>
      </c>
      <c r="L139" s="5">
        <v>2026</v>
      </c>
      <c r="M139" s="7" t="s">
        <v>16</v>
      </c>
    </row>
    <row r="140" spans="1:13" ht="12" customHeight="1" x14ac:dyDescent="0.25">
      <c r="A140" s="4">
        <v>137</v>
      </c>
      <c r="B140" s="5">
        <v>3002</v>
      </c>
      <c r="C140" s="6" t="s">
        <v>149</v>
      </c>
      <c r="D140" s="5">
        <v>40</v>
      </c>
      <c r="E140" s="4"/>
      <c r="F140" s="7"/>
      <c r="G140" s="4">
        <v>4</v>
      </c>
      <c r="H140" s="8">
        <f t="shared" si="9"/>
        <v>38</v>
      </c>
      <c r="I140" s="8">
        <f t="shared" si="7"/>
        <v>2</v>
      </c>
      <c r="J140" s="7">
        <f t="shared" si="8"/>
        <v>40</v>
      </c>
      <c r="K140" s="5">
        <v>1986</v>
      </c>
      <c r="L140" s="5">
        <v>2026</v>
      </c>
      <c r="M140" s="7" t="s">
        <v>16</v>
      </c>
    </row>
    <row r="141" spans="1:13" ht="12" customHeight="1" x14ac:dyDescent="0.25">
      <c r="A141" s="4">
        <v>138</v>
      </c>
      <c r="B141" s="5">
        <v>3003</v>
      </c>
      <c r="C141" s="6" t="s">
        <v>150</v>
      </c>
      <c r="D141" s="6">
        <v>35</v>
      </c>
      <c r="E141" s="4"/>
      <c r="F141" s="7"/>
      <c r="G141" s="4">
        <v>4</v>
      </c>
      <c r="H141" s="8">
        <f t="shared" si="9"/>
        <v>33.25</v>
      </c>
      <c r="I141" s="8">
        <f t="shared" si="7"/>
        <v>1.75</v>
      </c>
      <c r="J141" s="7">
        <f t="shared" si="8"/>
        <v>40</v>
      </c>
      <c r="K141" s="6">
        <v>1986</v>
      </c>
      <c r="L141" s="5">
        <v>2026</v>
      </c>
      <c r="M141" s="7" t="s">
        <v>16</v>
      </c>
    </row>
    <row r="142" spans="1:13" ht="12" customHeight="1" x14ac:dyDescent="0.25">
      <c r="A142" s="4">
        <v>139</v>
      </c>
      <c r="B142" s="5">
        <v>3005</v>
      </c>
      <c r="C142" s="6" t="s">
        <v>151</v>
      </c>
      <c r="D142" s="6">
        <v>14</v>
      </c>
      <c r="E142" s="4"/>
      <c r="F142" s="7"/>
      <c r="G142" s="4">
        <v>4</v>
      </c>
      <c r="H142" s="8">
        <f t="shared" si="9"/>
        <v>13.299999999999999</v>
      </c>
      <c r="I142" s="8">
        <f t="shared" si="7"/>
        <v>0.70000000000000107</v>
      </c>
      <c r="J142" s="7">
        <f t="shared" si="8"/>
        <v>40</v>
      </c>
      <c r="K142" s="6">
        <v>1986</v>
      </c>
      <c r="L142" s="5">
        <v>2026</v>
      </c>
      <c r="M142" s="7" t="s">
        <v>16</v>
      </c>
    </row>
    <row r="143" spans="1:13" ht="12" customHeight="1" x14ac:dyDescent="0.25">
      <c r="A143" s="4">
        <v>140</v>
      </c>
      <c r="B143" s="9">
        <v>3006</v>
      </c>
      <c r="C143" s="9" t="s">
        <v>152</v>
      </c>
      <c r="D143" s="9">
        <v>25</v>
      </c>
      <c r="E143" s="4"/>
      <c r="F143" s="7"/>
      <c r="G143" s="4">
        <v>4</v>
      </c>
      <c r="H143" s="8">
        <f t="shared" si="9"/>
        <v>23.75</v>
      </c>
      <c r="I143" s="8">
        <f t="shared" si="7"/>
        <v>1.25</v>
      </c>
      <c r="J143" s="7">
        <f t="shared" si="8"/>
        <v>40</v>
      </c>
      <c r="K143" s="9">
        <v>1986</v>
      </c>
      <c r="L143" s="5">
        <v>2026</v>
      </c>
      <c r="M143" s="7" t="s">
        <v>16</v>
      </c>
    </row>
    <row r="144" spans="1:13" ht="12" customHeight="1" x14ac:dyDescent="0.25">
      <c r="A144" s="4">
        <v>141</v>
      </c>
      <c r="B144" s="5">
        <v>3011</v>
      </c>
      <c r="C144" s="6" t="s">
        <v>153</v>
      </c>
      <c r="D144" s="6">
        <v>8</v>
      </c>
      <c r="E144" s="4"/>
      <c r="F144" s="7"/>
      <c r="G144" s="4">
        <v>4</v>
      </c>
      <c r="H144" s="8">
        <f t="shared" si="9"/>
        <v>7.6</v>
      </c>
      <c r="I144" s="8">
        <f t="shared" si="7"/>
        <v>0.40000000000000036</v>
      </c>
      <c r="J144" s="7">
        <f t="shared" si="8"/>
        <v>40</v>
      </c>
      <c r="K144" s="6">
        <v>1986</v>
      </c>
      <c r="L144" s="5">
        <v>2026</v>
      </c>
      <c r="M144" s="7" t="s">
        <v>16</v>
      </c>
    </row>
    <row r="145" spans="1:13" ht="12" customHeight="1" x14ac:dyDescent="0.25">
      <c r="A145" s="4">
        <v>142</v>
      </c>
      <c r="B145" s="5">
        <v>3014</v>
      </c>
      <c r="C145" s="6" t="s">
        <v>154</v>
      </c>
      <c r="D145" s="6">
        <v>3</v>
      </c>
      <c r="E145" s="4"/>
      <c r="F145" s="7"/>
      <c r="G145" s="4">
        <v>4</v>
      </c>
      <c r="H145" s="8">
        <f t="shared" si="9"/>
        <v>2.8499999999999996</v>
      </c>
      <c r="I145" s="8">
        <f t="shared" si="7"/>
        <v>0.15000000000000036</v>
      </c>
      <c r="J145" s="7">
        <f t="shared" si="8"/>
        <v>40</v>
      </c>
      <c r="K145" s="6">
        <v>1986</v>
      </c>
      <c r="L145" s="5">
        <v>2026</v>
      </c>
      <c r="M145" s="7" t="s">
        <v>16</v>
      </c>
    </row>
    <row r="146" spans="1:13" ht="12" customHeight="1" x14ac:dyDescent="0.25">
      <c r="A146" s="4">
        <v>143</v>
      </c>
      <c r="B146" s="5">
        <v>3017</v>
      </c>
      <c r="C146" s="6" t="s">
        <v>155</v>
      </c>
      <c r="D146" s="5">
        <v>40</v>
      </c>
      <c r="E146" s="4"/>
      <c r="F146" s="7"/>
      <c r="G146" s="4">
        <v>4</v>
      </c>
      <c r="H146" s="8">
        <f t="shared" si="9"/>
        <v>38</v>
      </c>
      <c r="I146" s="8">
        <f t="shared" si="7"/>
        <v>2</v>
      </c>
      <c r="J146" s="7">
        <f t="shared" si="8"/>
        <v>40</v>
      </c>
      <c r="K146" s="5">
        <v>1986</v>
      </c>
      <c r="L146" s="5">
        <v>2026</v>
      </c>
      <c r="M146" s="7" t="s">
        <v>16</v>
      </c>
    </row>
    <row r="147" spans="1:13" ht="12" customHeight="1" x14ac:dyDescent="0.25">
      <c r="A147" s="4">
        <v>144</v>
      </c>
      <c r="B147" s="5">
        <v>3018</v>
      </c>
      <c r="C147" s="6" t="s">
        <v>156</v>
      </c>
      <c r="D147" s="5">
        <v>50</v>
      </c>
      <c r="E147" s="4"/>
      <c r="F147" s="7"/>
      <c r="G147" s="4">
        <v>4</v>
      </c>
      <c r="H147" s="8">
        <f t="shared" si="9"/>
        <v>47.5</v>
      </c>
      <c r="I147" s="8">
        <f t="shared" si="7"/>
        <v>2.5</v>
      </c>
      <c r="J147" s="7">
        <f t="shared" si="8"/>
        <v>40</v>
      </c>
      <c r="K147" s="5">
        <v>1986</v>
      </c>
      <c r="L147" s="5">
        <v>2026</v>
      </c>
      <c r="M147" s="7" t="s">
        <v>16</v>
      </c>
    </row>
    <row r="148" spans="1:13" ht="12" customHeight="1" x14ac:dyDescent="0.25">
      <c r="A148" s="4">
        <v>145</v>
      </c>
      <c r="B148" s="5">
        <v>3019</v>
      </c>
      <c r="C148" s="6" t="s">
        <v>157</v>
      </c>
      <c r="D148" s="6">
        <v>8</v>
      </c>
      <c r="E148" s="4"/>
      <c r="F148" s="7"/>
      <c r="G148" s="4">
        <v>4</v>
      </c>
      <c r="H148" s="8">
        <f t="shared" si="9"/>
        <v>7.6</v>
      </c>
      <c r="I148" s="8">
        <f t="shared" si="7"/>
        <v>0.40000000000000036</v>
      </c>
      <c r="J148" s="7">
        <f t="shared" si="8"/>
        <v>40</v>
      </c>
      <c r="K148" s="6">
        <v>1986</v>
      </c>
      <c r="L148" s="5">
        <v>2026</v>
      </c>
      <c r="M148" s="7" t="s">
        <v>16</v>
      </c>
    </row>
    <row r="149" spans="1:13" ht="12" customHeight="1" x14ac:dyDescent="0.25">
      <c r="A149" s="4">
        <v>146</v>
      </c>
      <c r="B149" s="5">
        <v>3020</v>
      </c>
      <c r="C149" s="6" t="s">
        <v>158</v>
      </c>
      <c r="D149" s="5">
        <v>8</v>
      </c>
      <c r="E149" s="4"/>
      <c r="F149" s="7"/>
      <c r="G149" s="4">
        <v>4</v>
      </c>
      <c r="H149" s="8">
        <f t="shared" si="9"/>
        <v>7.6</v>
      </c>
      <c r="I149" s="8">
        <f t="shared" si="7"/>
        <v>0.40000000000000036</v>
      </c>
      <c r="J149" s="7">
        <f t="shared" si="8"/>
        <v>40</v>
      </c>
      <c r="K149" s="5">
        <v>1986</v>
      </c>
      <c r="L149" s="5">
        <v>2026</v>
      </c>
      <c r="M149" s="7" t="s">
        <v>16</v>
      </c>
    </row>
    <row r="150" spans="1:13" ht="12" customHeight="1" x14ac:dyDescent="0.25">
      <c r="A150" s="4">
        <v>147</v>
      </c>
      <c r="B150" s="5">
        <v>3021</v>
      </c>
      <c r="C150" s="6" t="s">
        <v>159</v>
      </c>
      <c r="D150" s="6">
        <v>5</v>
      </c>
      <c r="E150" s="4"/>
      <c r="F150" s="7"/>
      <c r="G150" s="4">
        <v>4</v>
      </c>
      <c r="H150" s="8">
        <f t="shared" si="9"/>
        <v>4.75</v>
      </c>
      <c r="I150" s="8">
        <f t="shared" si="7"/>
        <v>0.25</v>
      </c>
      <c r="J150" s="7">
        <f t="shared" si="8"/>
        <v>40</v>
      </c>
      <c r="K150" s="6">
        <v>1986</v>
      </c>
      <c r="L150" s="5">
        <v>2026</v>
      </c>
      <c r="M150" s="7" t="s">
        <v>16</v>
      </c>
    </row>
    <row r="151" spans="1:13" ht="12" customHeight="1" x14ac:dyDescent="0.25">
      <c r="A151" s="4">
        <v>148</v>
      </c>
      <c r="B151" s="5">
        <v>3022</v>
      </c>
      <c r="C151" s="6" t="s">
        <v>160</v>
      </c>
      <c r="D151" s="5">
        <v>15</v>
      </c>
      <c r="E151" s="4"/>
      <c r="F151" s="7"/>
      <c r="G151" s="4">
        <v>4</v>
      </c>
      <c r="H151" s="8">
        <f t="shared" si="9"/>
        <v>14.25</v>
      </c>
      <c r="I151" s="8">
        <f t="shared" si="7"/>
        <v>0.75</v>
      </c>
      <c r="J151" s="7">
        <f t="shared" si="8"/>
        <v>40</v>
      </c>
      <c r="K151" s="5">
        <v>1986</v>
      </c>
      <c r="L151" s="5">
        <v>2026</v>
      </c>
      <c r="M151" s="7" t="s">
        <v>16</v>
      </c>
    </row>
    <row r="152" spans="1:13" ht="12" customHeight="1" x14ac:dyDescent="0.25">
      <c r="A152" s="4">
        <v>149</v>
      </c>
      <c r="B152" s="9">
        <v>3024</v>
      </c>
      <c r="C152" s="9" t="s">
        <v>161</v>
      </c>
      <c r="D152" s="9">
        <v>25</v>
      </c>
      <c r="E152" s="4"/>
      <c r="F152" s="7"/>
      <c r="G152" s="4">
        <v>4</v>
      </c>
      <c r="H152" s="8">
        <f t="shared" si="9"/>
        <v>23.75</v>
      </c>
      <c r="I152" s="8">
        <f t="shared" si="7"/>
        <v>1.25</v>
      </c>
      <c r="J152" s="7">
        <f t="shared" si="8"/>
        <v>40</v>
      </c>
      <c r="K152" s="9">
        <v>1986</v>
      </c>
      <c r="L152" s="5">
        <v>2026</v>
      </c>
      <c r="M152" s="7" t="s">
        <v>16</v>
      </c>
    </row>
    <row r="153" spans="1:13" ht="12" customHeight="1" x14ac:dyDescent="0.25">
      <c r="A153" s="4">
        <v>150</v>
      </c>
      <c r="B153" s="9">
        <v>3025</v>
      </c>
      <c r="C153" s="9" t="s">
        <v>162</v>
      </c>
      <c r="D153" s="9">
        <v>8.75</v>
      </c>
      <c r="E153" s="4"/>
      <c r="F153" s="7"/>
      <c r="G153" s="4">
        <v>4</v>
      </c>
      <c r="H153" s="8">
        <f t="shared" si="9"/>
        <v>8.3125</v>
      </c>
      <c r="I153" s="8">
        <f t="shared" si="7"/>
        <v>0.4375</v>
      </c>
      <c r="J153" s="7">
        <f t="shared" si="8"/>
        <v>42</v>
      </c>
      <c r="K153" s="9">
        <v>1984</v>
      </c>
      <c r="L153" s="5">
        <v>2026</v>
      </c>
      <c r="M153" s="7" t="s">
        <v>16</v>
      </c>
    </row>
    <row r="154" spans="1:13" ht="12" customHeight="1" x14ac:dyDescent="0.25">
      <c r="A154" s="4">
        <v>151</v>
      </c>
      <c r="B154" s="5">
        <v>3025</v>
      </c>
      <c r="C154" s="6" t="s">
        <v>163</v>
      </c>
      <c r="D154" s="6">
        <v>8.75</v>
      </c>
      <c r="E154" s="4"/>
      <c r="F154" s="7"/>
      <c r="G154" s="4">
        <v>4</v>
      </c>
      <c r="H154" s="8">
        <f t="shared" si="9"/>
        <v>8.3125</v>
      </c>
      <c r="I154" s="8">
        <f t="shared" si="7"/>
        <v>0.4375</v>
      </c>
      <c r="J154" s="7">
        <f t="shared" si="8"/>
        <v>42</v>
      </c>
      <c r="K154" s="5">
        <v>1984</v>
      </c>
      <c r="L154" s="5">
        <v>2026</v>
      </c>
      <c r="M154" s="7" t="s">
        <v>16</v>
      </c>
    </row>
    <row r="155" spans="1:13" ht="12" customHeight="1" x14ac:dyDescent="0.25">
      <c r="A155" s="4">
        <v>152</v>
      </c>
      <c r="B155" s="9">
        <v>3041</v>
      </c>
      <c r="C155" s="9" t="s">
        <v>164</v>
      </c>
      <c r="D155" s="9">
        <v>12.5</v>
      </c>
      <c r="E155" s="4"/>
      <c r="F155" s="7"/>
      <c r="G155" s="4">
        <v>4</v>
      </c>
      <c r="H155" s="8">
        <f t="shared" si="9"/>
        <v>11.875</v>
      </c>
      <c r="I155" s="8">
        <f t="shared" si="7"/>
        <v>0.625</v>
      </c>
      <c r="J155" s="7">
        <f t="shared" si="8"/>
        <v>40</v>
      </c>
      <c r="K155" s="9">
        <v>1986</v>
      </c>
      <c r="L155" s="5">
        <v>2026</v>
      </c>
      <c r="M155" s="7" t="s">
        <v>16</v>
      </c>
    </row>
    <row r="156" spans="1:13" ht="12" customHeight="1" x14ac:dyDescent="0.25">
      <c r="A156" s="4">
        <v>153</v>
      </c>
      <c r="B156" s="9">
        <v>3044</v>
      </c>
      <c r="C156" s="9" t="s">
        <v>62</v>
      </c>
      <c r="D156" s="9">
        <v>13</v>
      </c>
      <c r="E156" s="4"/>
      <c r="F156" s="7"/>
      <c r="G156" s="4">
        <v>4</v>
      </c>
      <c r="H156" s="8">
        <f t="shared" si="9"/>
        <v>12.35</v>
      </c>
      <c r="I156" s="8">
        <f t="shared" si="7"/>
        <v>0.65000000000000036</v>
      </c>
      <c r="J156" s="7">
        <f t="shared" si="8"/>
        <v>42</v>
      </c>
      <c r="K156" s="9">
        <v>1984</v>
      </c>
      <c r="L156" s="5">
        <v>2026</v>
      </c>
      <c r="M156" s="7" t="s">
        <v>16</v>
      </c>
    </row>
    <row r="157" spans="1:13" ht="12" customHeight="1" x14ac:dyDescent="0.25">
      <c r="A157" s="4">
        <v>154</v>
      </c>
      <c r="B157" s="5">
        <v>3051</v>
      </c>
      <c r="C157" s="6" t="s">
        <v>165</v>
      </c>
      <c r="D157" s="5">
        <v>20</v>
      </c>
      <c r="E157" s="4"/>
      <c r="F157" s="7"/>
      <c r="G157" s="4">
        <v>4</v>
      </c>
      <c r="H157" s="8">
        <f t="shared" si="9"/>
        <v>19</v>
      </c>
      <c r="I157" s="8">
        <f t="shared" si="7"/>
        <v>1</v>
      </c>
      <c r="J157" s="7">
        <f t="shared" si="8"/>
        <v>40</v>
      </c>
      <c r="K157" s="5">
        <v>1986</v>
      </c>
      <c r="L157" s="5">
        <v>2026</v>
      </c>
      <c r="M157" s="7" t="s">
        <v>16</v>
      </c>
    </row>
    <row r="158" spans="1:13" ht="12" customHeight="1" x14ac:dyDescent="0.25">
      <c r="A158" s="4">
        <v>155</v>
      </c>
      <c r="B158" s="9">
        <v>3053</v>
      </c>
      <c r="C158" s="9" t="s">
        <v>166</v>
      </c>
      <c r="D158" s="9">
        <v>12</v>
      </c>
      <c r="E158" s="4"/>
      <c r="F158" s="7"/>
      <c r="G158" s="4">
        <v>4</v>
      </c>
      <c r="H158" s="8">
        <f t="shared" si="9"/>
        <v>11.399999999999999</v>
      </c>
      <c r="I158" s="8">
        <f t="shared" si="7"/>
        <v>0.60000000000000142</v>
      </c>
      <c r="J158" s="7">
        <f t="shared" si="8"/>
        <v>43</v>
      </c>
      <c r="K158" s="9">
        <v>1983</v>
      </c>
      <c r="L158" s="5">
        <v>2026</v>
      </c>
      <c r="M158" s="7" t="s">
        <v>16</v>
      </c>
    </row>
    <row r="159" spans="1:13" ht="12" customHeight="1" x14ac:dyDescent="0.25">
      <c r="A159" s="4">
        <v>156</v>
      </c>
      <c r="B159" s="5">
        <v>3054</v>
      </c>
      <c r="C159" s="6" t="s">
        <v>167</v>
      </c>
      <c r="D159" s="6">
        <v>13</v>
      </c>
      <c r="E159" s="4"/>
      <c r="F159" s="7"/>
      <c r="G159" s="4">
        <v>4</v>
      </c>
      <c r="H159" s="8">
        <f t="shared" si="9"/>
        <v>12.35</v>
      </c>
      <c r="I159" s="8">
        <f t="shared" si="7"/>
        <v>0.65000000000000036</v>
      </c>
      <c r="J159" s="7">
        <f t="shared" si="8"/>
        <v>42</v>
      </c>
      <c r="K159" s="5">
        <v>1984</v>
      </c>
      <c r="L159" s="5">
        <v>2026</v>
      </c>
      <c r="M159" s="7" t="s">
        <v>16</v>
      </c>
    </row>
    <row r="160" spans="1:13" ht="12" customHeight="1" x14ac:dyDescent="0.25">
      <c r="A160" s="4">
        <v>157</v>
      </c>
      <c r="B160" s="5">
        <v>3058</v>
      </c>
      <c r="C160" s="6" t="s">
        <v>168</v>
      </c>
      <c r="D160" s="5">
        <v>40</v>
      </c>
      <c r="E160" s="4"/>
      <c r="F160" s="7"/>
      <c r="G160" s="4">
        <v>4</v>
      </c>
      <c r="H160" s="8">
        <f t="shared" si="9"/>
        <v>38</v>
      </c>
      <c r="I160" s="8">
        <f t="shared" si="7"/>
        <v>2</v>
      </c>
      <c r="J160" s="7">
        <f t="shared" si="8"/>
        <v>39</v>
      </c>
      <c r="K160" s="5">
        <v>1987</v>
      </c>
      <c r="L160" s="5">
        <v>2026</v>
      </c>
      <c r="M160" s="7" t="s">
        <v>16</v>
      </c>
    </row>
    <row r="161" spans="1:13" ht="12" customHeight="1" x14ac:dyDescent="0.25">
      <c r="A161" s="4">
        <v>158</v>
      </c>
      <c r="B161" s="9">
        <v>3060</v>
      </c>
      <c r="C161" s="9" t="s">
        <v>169</v>
      </c>
      <c r="D161" s="9">
        <v>15</v>
      </c>
      <c r="E161" s="4"/>
      <c r="F161" s="7"/>
      <c r="G161" s="4">
        <v>4</v>
      </c>
      <c r="H161" s="8">
        <f t="shared" si="9"/>
        <v>14.25</v>
      </c>
      <c r="I161" s="8">
        <f t="shared" si="7"/>
        <v>0.75</v>
      </c>
      <c r="J161" s="7">
        <f t="shared" si="8"/>
        <v>39</v>
      </c>
      <c r="K161" s="9">
        <v>1987</v>
      </c>
      <c r="L161" s="5">
        <v>2026</v>
      </c>
      <c r="M161" s="7" t="s">
        <v>16</v>
      </c>
    </row>
    <row r="162" spans="1:13" ht="12" customHeight="1" x14ac:dyDescent="0.25">
      <c r="A162" s="4">
        <v>159</v>
      </c>
      <c r="B162" s="9">
        <v>3062</v>
      </c>
      <c r="C162" s="9" t="s">
        <v>170</v>
      </c>
      <c r="D162" s="9">
        <v>20</v>
      </c>
      <c r="E162" s="4"/>
      <c r="F162" s="7"/>
      <c r="G162" s="4">
        <v>4</v>
      </c>
      <c r="H162" s="8">
        <f t="shared" si="9"/>
        <v>19</v>
      </c>
      <c r="I162" s="8">
        <f t="shared" si="7"/>
        <v>1</v>
      </c>
      <c r="J162" s="7">
        <f t="shared" si="8"/>
        <v>40</v>
      </c>
      <c r="K162" s="9">
        <v>1986</v>
      </c>
      <c r="L162" s="5">
        <v>2026</v>
      </c>
      <c r="M162" s="7" t="s">
        <v>16</v>
      </c>
    </row>
    <row r="163" spans="1:13" ht="12" customHeight="1" x14ac:dyDescent="0.25">
      <c r="A163" s="4">
        <v>160</v>
      </c>
      <c r="B163" s="5">
        <v>3160</v>
      </c>
      <c r="C163" s="6" t="s">
        <v>171</v>
      </c>
      <c r="D163" s="5">
        <v>27.5</v>
      </c>
      <c r="E163" s="4"/>
      <c r="F163" s="7"/>
      <c r="G163" s="4">
        <v>4</v>
      </c>
      <c r="H163" s="8">
        <f t="shared" si="9"/>
        <v>26.125</v>
      </c>
      <c r="I163" s="8">
        <f t="shared" si="7"/>
        <v>1.375</v>
      </c>
      <c r="J163" s="7">
        <f t="shared" si="8"/>
        <v>39</v>
      </c>
      <c r="K163" s="5">
        <v>1987</v>
      </c>
      <c r="L163" s="5">
        <v>2026</v>
      </c>
      <c r="M163" s="7" t="s">
        <v>16</v>
      </c>
    </row>
    <row r="164" spans="1:13" ht="12" customHeight="1" x14ac:dyDescent="0.25">
      <c r="A164" s="4">
        <v>161</v>
      </c>
      <c r="B164" s="5">
        <v>3163</v>
      </c>
      <c r="C164" s="6" t="s">
        <v>172</v>
      </c>
      <c r="D164" s="5">
        <v>32.5</v>
      </c>
      <c r="E164" s="4"/>
      <c r="F164" s="7"/>
      <c r="G164" s="4">
        <v>4</v>
      </c>
      <c r="H164" s="8">
        <f t="shared" si="9"/>
        <v>30.875</v>
      </c>
      <c r="I164" s="8">
        <f t="shared" si="7"/>
        <v>1.625</v>
      </c>
      <c r="J164" s="7">
        <f t="shared" si="8"/>
        <v>39</v>
      </c>
      <c r="K164" s="5">
        <v>1987</v>
      </c>
      <c r="L164" s="5">
        <v>2026</v>
      </c>
      <c r="M164" s="7" t="s">
        <v>16</v>
      </c>
    </row>
    <row r="165" spans="1:13" ht="12" customHeight="1" x14ac:dyDescent="0.25">
      <c r="A165" s="4">
        <v>162</v>
      </c>
      <c r="B165" s="5">
        <v>3164</v>
      </c>
      <c r="C165" s="6" t="s">
        <v>172</v>
      </c>
      <c r="D165" s="5">
        <v>32.5</v>
      </c>
      <c r="E165" s="4"/>
      <c r="F165" s="7"/>
      <c r="G165" s="4">
        <v>4</v>
      </c>
      <c r="H165" s="8">
        <f t="shared" si="9"/>
        <v>30.875</v>
      </c>
      <c r="I165" s="8">
        <f t="shared" si="7"/>
        <v>1.625</v>
      </c>
      <c r="J165" s="7">
        <f t="shared" si="8"/>
        <v>39</v>
      </c>
      <c r="K165" s="5">
        <v>1987</v>
      </c>
      <c r="L165" s="5">
        <v>2026</v>
      </c>
      <c r="M165" s="7" t="s">
        <v>16</v>
      </c>
    </row>
    <row r="166" spans="1:13" ht="12" customHeight="1" x14ac:dyDescent="0.25">
      <c r="A166" s="4">
        <v>163</v>
      </c>
      <c r="B166" s="5">
        <v>3167</v>
      </c>
      <c r="C166" s="6" t="s">
        <v>173</v>
      </c>
      <c r="D166" s="5">
        <v>26.5</v>
      </c>
      <c r="E166" s="4"/>
      <c r="F166" s="7"/>
      <c r="G166" s="4">
        <v>4</v>
      </c>
      <c r="H166" s="8">
        <f t="shared" si="9"/>
        <v>25.174999999999997</v>
      </c>
      <c r="I166" s="8">
        <f t="shared" si="7"/>
        <v>1.3250000000000028</v>
      </c>
      <c r="J166" s="7">
        <f t="shared" si="8"/>
        <v>39</v>
      </c>
      <c r="K166" s="5">
        <v>1987</v>
      </c>
      <c r="L166" s="5">
        <v>2026</v>
      </c>
      <c r="M166" s="7" t="s">
        <v>16</v>
      </c>
    </row>
    <row r="167" spans="1:13" ht="12" customHeight="1" x14ac:dyDescent="0.25">
      <c r="A167" s="4">
        <v>164</v>
      </c>
      <c r="B167" s="5">
        <v>3172</v>
      </c>
      <c r="C167" s="6" t="s">
        <v>174</v>
      </c>
      <c r="D167" s="5">
        <v>0</v>
      </c>
      <c r="E167" s="4"/>
      <c r="F167" s="7"/>
      <c r="G167" s="4">
        <v>4</v>
      </c>
      <c r="H167" s="8">
        <f t="shared" si="9"/>
        <v>0</v>
      </c>
      <c r="I167" s="8">
        <f t="shared" si="7"/>
        <v>0</v>
      </c>
      <c r="J167" s="7">
        <f t="shared" si="8"/>
        <v>39</v>
      </c>
      <c r="K167" s="5">
        <v>1987</v>
      </c>
      <c r="L167" s="5">
        <v>2026</v>
      </c>
      <c r="M167" s="7" t="s">
        <v>16</v>
      </c>
    </row>
    <row r="168" spans="1:13" ht="12" customHeight="1" x14ac:dyDescent="0.25">
      <c r="A168" s="4">
        <v>165</v>
      </c>
      <c r="B168" s="5">
        <v>3173</v>
      </c>
      <c r="C168" s="6" t="s">
        <v>175</v>
      </c>
      <c r="D168" s="5">
        <v>0</v>
      </c>
      <c r="E168" s="4"/>
      <c r="F168" s="7"/>
      <c r="G168" s="4">
        <v>4</v>
      </c>
      <c r="H168" s="8">
        <f t="shared" si="9"/>
        <v>0</v>
      </c>
      <c r="I168" s="8">
        <f t="shared" si="7"/>
        <v>0</v>
      </c>
      <c r="J168" s="7">
        <f t="shared" si="8"/>
        <v>39</v>
      </c>
      <c r="K168" s="5">
        <v>1987</v>
      </c>
      <c r="L168" s="5">
        <v>2026</v>
      </c>
      <c r="M168" s="7" t="s">
        <v>16</v>
      </c>
    </row>
    <row r="169" spans="1:13" ht="12" customHeight="1" x14ac:dyDescent="0.25">
      <c r="A169" s="4">
        <v>166</v>
      </c>
      <c r="B169" s="5">
        <v>3197</v>
      </c>
      <c r="C169" s="6" t="s">
        <v>176</v>
      </c>
      <c r="D169" s="5">
        <v>50</v>
      </c>
      <c r="E169" s="4"/>
      <c r="F169" s="7"/>
      <c r="G169" s="4">
        <v>4</v>
      </c>
      <c r="H169" s="8">
        <f t="shared" si="9"/>
        <v>47.5</v>
      </c>
      <c r="I169" s="8">
        <f t="shared" si="7"/>
        <v>2.5</v>
      </c>
      <c r="J169" s="7">
        <f t="shared" si="8"/>
        <v>39</v>
      </c>
      <c r="K169" s="5">
        <v>1987</v>
      </c>
      <c r="L169" s="5">
        <v>2026</v>
      </c>
      <c r="M169" s="7" t="s">
        <v>16</v>
      </c>
    </row>
    <row r="170" spans="1:13" ht="12" customHeight="1" x14ac:dyDescent="0.25">
      <c r="A170" s="4">
        <v>167</v>
      </c>
      <c r="B170" s="5">
        <v>3198</v>
      </c>
      <c r="C170" s="6" t="s">
        <v>177</v>
      </c>
      <c r="D170" s="5">
        <v>45</v>
      </c>
      <c r="E170" s="4"/>
      <c r="F170" s="7"/>
      <c r="G170" s="4">
        <v>4</v>
      </c>
      <c r="H170" s="8">
        <f t="shared" si="9"/>
        <v>42.75</v>
      </c>
      <c r="I170" s="8">
        <f t="shared" si="7"/>
        <v>2.25</v>
      </c>
      <c r="J170" s="7">
        <f t="shared" si="8"/>
        <v>39</v>
      </c>
      <c r="K170" s="5">
        <v>1987</v>
      </c>
      <c r="L170" s="5">
        <v>2026</v>
      </c>
      <c r="M170" s="7" t="s">
        <v>16</v>
      </c>
    </row>
    <row r="171" spans="1:13" ht="12" customHeight="1" x14ac:dyDescent="0.25">
      <c r="A171" s="4">
        <v>168</v>
      </c>
      <c r="B171" s="5">
        <v>3264</v>
      </c>
      <c r="C171" s="6" t="s">
        <v>178</v>
      </c>
      <c r="D171" s="5">
        <v>4</v>
      </c>
      <c r="E171" s="4"/>
      <c r="F171" s="7"/>
      <c r="G171" s="4">
        <v>4</v>
      </c>
      <c r="H171" s="8">
        <f t="shared" si="9"/>
        <v>3.8</v>
      </c>
      <c r="I171" s="8">
        <f t="shared" si="7"/>
        <v>0.20000000000000018</v>
      </c>
      <c r="J171" s="7">
        <f t="shared" si="8"/>
        <v>39</v>
      </c>
      <c r="K171" s="5">
        <v>1987</v>
      </c>
      <c r="L171" s="5">
        <v>2026</v>
      </c>
      <c r="M171" s="7" t="s">
        <v>16</v>
      </c>
    </row>
    <row r="172" spans="1:13" ht="12" customHeight="1" x14ac:dyDescent="0.25">
      <c r="A172" s="4">
        <v>169</v>
      </c>
      <c r="B172" s="5">
        <v>3265</v>
      </c>
      <c r="C172" s="6" t="s">
        <v>179</v>
      </c>
      <c r="D172" s="5">
        <v>4</v>
      </c>
      <c r="E172" s="4"/>
      <c r="F172" s="7"/>
      <c r="G172" s="4">
        <v>4</v>
      </c>
      <c r="H172" s="8">
        <f t="shared" si="9"/>
        <v>3.8</v>
      </c>
      <c r="I172" s="8">
        <f t="shared" si="7"/>
        <v>0.20000000000000018</v>
      </c>
      <c r="J172" s="7">
        <f t="shared" si="8"/>
        <v>39</v>
      </c>
      <c r="K172" s="5">
        <v>1987</v>
      </c>
      <c r="L172" s="5">
        <v>2026</v>
      </c>
      <c r="M172" s="7" t="s">
        <v>16</v>
      </c>
    </row>
    <row r="173" spans="1:13" ht="12" customHeight="1" x14ac:dyDescent="0.25">
      <c r="A173" s="4">
        <v>170</v>
      </c>
      <c r="B173" s="9">
        <v>3291</v>
      </c>
      <c r="C173" s="9" t="s">
        <v>180</v>
      </c>
      <c r="D173" s="9">
        <v>7</v>
      </c>
      <c r="E173" s="4"/>
      <c r="F173" s="7"/>
      <c r="G173" s="4">
        <v>4</v>
      </c>
      <c r="H173" s="8">
        <f t="shared" si="9"/>
        <v>6.6499999999999995</v>
      </c>
      <c r="I173" s="8">
        <f t="shared" si="7"/>
        <v>0.35000000000000053</v>
      </c>
      <c r="J173" s="7">
        <f t="shared" si="8"/>
        <v>38</v>
      </c>
      <c r="K173" s="9">
        <v>1988</v>
      </c>
      <c r="L173" s="5">
        <v>2026</v>
      </c>
      <c r="M173" s="7" t="s">
        <v>16</v>
      </c>
    </row>
    <row r="174" spans="1:13" ht="12" customHeight="1" x14ac:dyDescent="0.25">
      <c r="A174" s="4">
        <v>171</v>
      </c>
      <c r="B174" s="5">
        <v>3292</v>
      </c>
      <c r="C174" s="6" t="s">
        <v>181</v>
      </c>
      <c r="D174" s="6">
        <v>5</v>
      </c>
      <c r="E174" s="4"/>
      <c r="F174" s="7"/>
      <c r="G174" s="4">
        <v>4</v>
      </c>
      <c r="H174" s="8">
        <f t="shared" si="9"/>
        <v>4.75</v>
      </c>
      <c r="I174" s="8">
        <f t="shared" si="7"/>
        <v>0.25</v>
      </c>
      <c r="J174" s="7">
        <f t="shared" si="8"/>
        <v>38</v>
      </c>
      <c r="K174" s="6">
        <v>1988</v>
      </c>
      <c r="L174" s="5">
        <v>2026</v>
      </c>
      <c r="M174" s="7" t="s">
        <v>16</v>
      </c>
    </row>
    <row r="175" spans="1:13" ht="12" customHeight="1" x14ac:dyDescent="0.25">
      <c r="A175" s="4">
        <v>172</v>
      </c>
      <c r="B175" s="9">
        <v>3298</v>
      </c>
      <c r="C175" s="9" t="s">
        <v>182</v>
      </c>
      <c r="D175" s="9">
        <v>12</v>
      </c>
      <c r="E175" s="4"/>
      <c r="F175" s="7"/>
      <c r="G175" s="4">
        <v>4</v>
      </c>
      <c r="H175" s="8">
        <f t="shared" si="9"/>
        <v>11.399999999999999</v>
      </c>
      <c r="I175" s="8">
        <f t="shared" si="7"/>
        <v>0.60000000000000142</v>
      </c>
      <c r="J175" s="7">
        <f t="shared" si="8"/>
        <v>38</v>
      </c>
      <c r="K175" s="9">
        <v>1988</v>
      </c>
      <c r="L175" s="5">
        <v>2026</v>
      </c>
      <c r="M175" s="7" t="s">
        <v>16</v>
      </c>
    </row>
    <row r="176" spans="1:13" ht="12" customHeight="1" x14ac:dyDescent="0.25">
      <c r="A176" s="4">
        <v>173</v>
      </c>
      <c r="B176" s="6">
        <v>3306</v>
      </c>
      <c r="C176" s="6" t="s">
        <v>183</v>
      </c>
      <c r="D176" s="6">
        <v>6</v>
      </c>
      <c r="E176" s="4"/>
      <c r="F176" s="7"/>
      <c r="G176" s="4">
        <v>4</v>
      </c>
      <c r="H176" s="8">
        <f t="shared" si="9"/>
        <v>5.6999999999999993</v>
      </c>
      <c r="I176" s="8">
        <f t="shared" si="7"/>
        <v>0.30000000000000071</v>
      </c>
      <c r="J176" s="7">
        <f t="shared" si="8"/>
        <v>38</v>
      </c>
      <c r="K176" s="6">
        <v>1988</v>
      </c>
      <c r="L176" s="5">
        <v>2026</v>
      </c>
      <c r="M176" s="7" t="s">
        <v>16</v>
      </c>
    </row>
    <row r="177" spans="1:13" ht="12" customHeight="1" x14ac:dyDescent="0.25">
      <c r="A177" s="4">
        <v>174</v>
      </c>
      <c r="B177" s="9">
        <v>3312</v>
      </c>
      <c r="C177" s="9" t="s">
        <v>184</v>
      </c>
      <c r="D177" s="9">
        <v>6</v>
      </c>
      <c r="E177" s="4"/>
      <c r="F177" s="7"/>
      <c r="G177" s="4">
        <v>4</v>
      </c>
      <c r="H177" s="8">
        <f t="shared" si="9"/>
        <v>5.6999999999999993</v>
      </c>
      <c r="I177" s="8">
        <f t="shared" si="7"/>
        <v>0.30000000000000071</v>
      </c>
      <c r="J177" s="7">
        <f t="shared" si="8"/>
        <v>38</v>
      </c>
      <c r="K177" s="9">
        <v>1988</v>
      </c>
      <c r="L177" s="5">
        <v>2026</v>
      </c>
      <c r="M177" s="7" t="s">
        <v>16</v>
      </c>
    </row>
    <row r="178" spans="1:13" ht="12" customHeight="1" x14ac:dyDescent="0.25">
      <c r="A178" s="4">
        <v>175</v>
      </c>
      <c r="B178" s="5">
        <v>3314</v>
      </c>
      <c r="C178" s="6" t="s">
        <v>185</v>
      </c>
      <c r="D178" s="6">
        <v>50</v>
      </c>
      <c r="E178" s="4"/>
      <c r="F178" s="7"/>
      <c r="G178" s="4">
        <v>4</v>
      </c>
      <c r="H178" s="8">
        <f t="shared" si="9"/>
        <v>47.5</v>
      </c>
      <c r="I178" s="8">
        <f t="shared" si="7"/>
        <v>2.5</v>
      </c>
      <c r="J178" s="7">
        <f t="shared" si="8"/>
        <v>38</v>
      </c>
      <c r="K178" s="5">
        <v>1988</v>
      </c>
      <c r="L178" s="5">
        <v>2026</v>
      </c>
      <c r="M178" s="7" t="s">
        <v>16</v>
      </c>
    </row>
    <row r="179" spans="1:13" ht="12" customHeight="1" x14ac:dyDescent="0.25">
      <c r="A179" s="4">
        <v>176</v>
      </c>
      <c r="B179" s="5">
        <v>3314</v>
      </c>
      <c r="C179" s="6" t="s">
        <v>185</v>
      </c>
      <c r="D179" s="6">
        <v>50</v>
      </c>
      <c r="E179" s="4"/>
      <c r="F179" s="7"/>
      <c r="G179" s="4">
        <v>4</v>
      </c>
      <c r="H179" s="8">
        <f t="shared" si="9"/>
        <v>47.5</v>
      </c>
      <c r="I179" s="8">
        <f t="shared" si="7"/>
        <v>2.5</v>
      </c>
      <c r="J179" s="7">
        <f t="shared" si="8"/>
        <v>38</v>
      </c>
      <c r="K179" s="5">
        <v>1988</v>
      </c>
      <c r="L179" s="5">
        <v>2026</v>
      </c>
      <c r="M179" s="7" t="s">
        <v>16</v>
      </c>
    </row>
    <row r="180" spans="1:13" ht="12" customHeight="1" x14ac:dyDescent="0.25">
      <c r="A180" s="4">
        <v>177</v>
      </c>
      <c r="B180" s="9">
        <v>3318</v>
      </c>
      <c r="C180" s="9" t="s">
        <v>186</v>
      </c>
      <c r="D180" s="9">
        <v>6</v>
      </c>
      <c r="E180" s="4"/>
      <c r="F180" s="7"/>
      <c r="G180" s="4">
        <v>4</v>
      </c>
      <c r="H180" s="8">
        <f t="shared" si="9"/>
        <v>5.6999999999999993</v>
      </c>
      <c r="I180" s="8">
        <f t="shared" si="7"/>
        <v>0.30000000000000071</v>
      </c>
      <c r="J180" s="7">
        <f t="shared" si="8"/>
        <v>38</v>
      </c>
      <c r="K180" s="9">
        <v>1988</v>
      </c>
      <c r="L180" s="5">
        <v>2026</v>
      </c>
      <c r="M180" s="7" t="s">
        <v>16</v>
      </c>
    </row>
    <row r="181" spans="1:13" ht="12" customHeight="1" x14ac:dyDescent="0.25">
      <c r="A181" s="4">
        <v>178</v>
      </c>
      <c r="B181" s="5">
        <v>3319</v>
      </c>
      <c r="C181" s="6" t="s">
        <v>187</v>
      </c>
      <c r="D181" s="6">
        <v>10</v>
      </c>
      <c r="E181" s="4"/>
      <c r="F181" s="7"/>
      <c r="G181" s="4">
        <v>4</v>
      </c>
      <c r="H181" s="8">
        <f t="shared" si="9"/>
        <v>9.5</v>
      </c>
      <c r="I181" s="8">
        <f t="shared" si="7"/>
        <v>0.5</v>
      </c>
      <c r="J181" s="7">
        <f t="shared" si="8"/>
        <v>38</v>
      </c>
      <c r="K181" s="6">
        <v>1988</v>
      </c>
      <c r="L181" s="5">
        <v>2026</v>
      </c>
      <c r="M181" s="7" t="s">
        <v>16</v>
      </c>
    </row>
    <row r="182" spans="1:13" ht="12" customHeight="1" x14ac:dyDescent="0.25">
      <c r="A182" s="4">
        <v>179</v>
      </c>
      <c r="B182" s="5">
        <v>3326</v>
      </c>
      <c r="C182" s="6" t="s">
        <v>188</v>
      </c>
      <c r="D182" s="6">
        <v>40</v>
      </c>
      <c r="E182" s="4"/>
      <c r="F182" s="7"/>
      <c r="G182" s="4">
        <v>4</v>
      </c>
      <c r="H182" s="8">
        <f t="shared" si="9"/>
        <v>38</v>
      </c>
      <c r="I182" s="8">
        <f t="shared" si="7"/>
        <v>2</v>
      </c>
      <c r="J182" s="7">
        <f t="shared" si="8"/>
        <v>38</v>
      </c>
      <c r="K182" s="6">
        <v>1988</v>
      </c>
      <c r="L182" s="5">
        <v>2026</v>
      </c>
      <c r="M182" s="7" t="s">
        <v>16</v>
      </c>
    </row>
    <row r="183" spans="1:13" ht="12" customHeight="1" x14ac:dyDescent="0.25">
      <c r="A183" s="4">
        <v>180</v>
      </c>
      <c r="B183" s="5">
        <v>3331</v>
      </c>
      <c r="C183" s="6" t="s">
        <v>189</v>
      </c>
      <c r="D183" s="5">
        <v>15</v>
      </c>
      <c r="E183" s="4"/>
      <c r="F183" s="7"/>
      <c r="G183" s="4">
        <v>4</v>
      </c>
      <c r="H183" s="8">
        <f t="shared" si="9"/>
        <v>14.25</v>
      </c>
      <c r="I183" s="8">
        <f t="shared" si="7"/>
        <v>0.75</v>
      </c>
      <c r="J183" s="7">
        <f t="shared" si="8"/>
        <v>38</v>
      </c>
      <c r="K183" s="5">
        <v>1988</v>
      </c>
      <c r="L183" s="5">
        <v>2026</v>
      </c>
      <c r="M183" s="7" t="s">
        <v>16</v>
      </c>
    </row>
    <row r="184" spans="1:13" ht="12" customHeight="1" x14ac:dyDescent="0.25">
      <c r="A184" s="4">
        <v>181</v>
      </c>
      <c r="B184" s="5">
        <v>3343</v>
      </c>
      <c r="C184" s="6" t="s">
        <v>190</v>
      </c>
      <c r="D184" s="6">
        <v>15</v>
      </c>
      <c r="E184" s="4"/>
      <c r="F184" s="7"/>
      <c r="G184" s="4">
        <v>4</v>
      </c>
      <c r="H184" s="8">
        <f t="shared" si="9"/>
        <v>14.25</v>
      </c>
      <c r="I184" s="8">
        <f t="shared" si="7"/>
        <v>0.75</v>
      </c>
      <c r="J184" s="7">
        <f t="shared" si="8"/>
        <v>38</v>
      </c>
      <c r="K184" s="5">
        <v>1988</v>
      </c>
      <c r="L184" s="5">
        <v>2026</v>
      </c>
      <c r="M184" s="7" t="s">
        <v>16</v>
      </c>
    </row>
    <row r="185" spans="1:13" ht="12" customHeight="1" x14ac:dyDescent="0.25">
      <c r="A185" s="4">
        <v>182</v>
      </c>
      <c r="B185" s="9">
        <v>3343</v>
      </c>
      <c r="C185" s="9" t="s">
        <v>191</v>
      </c>
      <c r="D185" s="9">
        <v>15</v>
      </c>
      <c r="E185" s="4"/>
      <c r="F185" s="7"/>
      <c r="G185" s="4">
        <v>4</v>
      </c>
      <c r="H185" s="8">
        <f t="shared" si="9"/>
        <v>14.25</v>
      </c>
      <c r="I185" s="8">
        <f t="shared" si="7"/>
        <v>0.75</v>
      </c>
      <c r="J185" s="7">
        <f t="shared" si="8"/>
        <v>38</v>
      </c>
      <c r="K185" s="9">
        <v>1988</v>
      </c>
      <c r="L185" s="5">
        <v>2026</v>
      </c>
      <c r="M185" s="7" t="s">
        <v>16</v>
      </c>
    </row>
    <row r="186" spans="1:13" ht="12" customHeight="1" x14ac:dyDescent="0.25">
      <c r="A186" s="4">
        <v>183</v>
      </c>
      <c r="B186" s="5">
        <v>3343</v>
      </c>
      <c r="C186" s="6" t="s">
        <v>190</v>
      </c>
      <c r="D186" s="6">
        <v>15</v>
      </c>
      <c r="E186" s="4"/>
      <c r="F186" s="7"/>
      <c r="G186" s="4">
        <v>4</v>
      </c>
      <c r="H186" s="8">
        <f t="shared" si="9"/>
        <v>14.25</v>
      </c>
      <c r="I186" s="8">
        <f t="shared" si="7"/>
        <v>0.75</v>
      </c>
      <c r="J186" s="7">
        <f t="shared" si="8"/>
        <v>38</v>
      </c>
      <c r="K186" s="5">
        <v>1988</v>
      </c>
      <c r="L186" s="5">
        <v>2026</v>
      </c>
      <c r="M186" s="7" t="s">
        <v>16</v>
      </c>
    </row>
    <row r="187" spans="1:13" ht="12" customHeight="1" x14ac:dyDescent="0.25">
      <c r="A187" s="4">
        <v>184</v>
      </c>
      <c r="B187" s="5">
        <v>3347</v>
      </c>
      <c r="C187" s="6" t="s">
        <v>192</v>
      </c>
      <c r="D187" s="5">
        <v>20</v>
      </c>
      <c r="E187" s="4"/>
      <c r="F187" s="7"/>
      <c r="G187" s="4">
        <v>4</v>
      </c>
      <c r="H187" s="8">
        <f t="shared" si="9"/>
        <v>19</v>
      </c>
      <c r="I187" s="8">
        <f t="shared" si="7"/>
        <v>1</v>
      </c>
      <c r="J187" s="7">
        <f t="shared" si="8"/>
        <v>38</v>
      </c>
      <c r="K187" s="5">
        <v>1988</v>
      </c>
      <c r="L187" s="5">
        <v>2026</v>
      </c>
      <c r="M187" s="7" t="s">
        <v>16</v>
      </c>
    </row>
    <row r="188" spans="1:13" ht="12" customHeight="1" x14ac:dyDescent="0.25">
      <c r="A188" s="4">
        <v>185</v>
      </c>
      <c r="B188" s="5">
        <v>3361</v>
      </c>
      <c r="C188" s="6" t="s">
        <v>193</v>
      </c>
      <c r="D188" s="5">
        <v>25</v>
      </c>
      <c r="E188" s="4"/>
      <c r="F188" s="7"/>
      <c r="G188" s="4">
        <v>4</v>
      </c>
      <c r="H188" s="8">
        <f t="shared" si="9"/>
        <v>23.75</v>
      </c>
      <c r="I188" s="8">
        <f t="shared" si="7"/>
        <v>1.25</v>
      </c>
      <c r="J188" s="7">
        <f t="shared" si="8"/>
        <v>38</v>
      </c>
      <c r="K188" s="5">
        <v>1988</v>
      </c>
      <c r="L188" s="5">
        <v>2026</v>
      </c>
      <c r="M188" s="7" t="s">
        <v>16</v>
      </c>
    </row>
    <row r="189" spans="1:13" ht="12" customHeight="1" x14ac:dyDescent="0.25">
      <c r="A189" s="4">
        <v>186</v>
      </c>
      <c r="B189" s="9">
        <v>3363</v>
      </c>
      <c r="C189" s="9" t="s">
        <v>194</v>
      </c>
      <c r="D189" s="9">
        <v>15.5</v>
      </c>
      <c r="E189" s="4"/>
      <c r="F189" s="7"/>
      <c r="G189" s="4">
        <v>4</v>
      </c>
      <c r="H189" s="8">
        <f t="shared" si="9"/>
        <v>14.725</v>
      </c>
      <c r="I189" s="8">
        <f t="shared" si="7"/>
        <v>0.77500000000000036</v>
      </c>
      <c r="J189" s="7">
        <f t="shared" si="8"/>
        <v>38</v>
      </c>
      <c r="K189" s="9">
        <v>1988</v>
      </c>
      <c r="L189" s="5">
        <v>2026</v>
      </c>
      <c r="M189" s="7" t="s">
        <v>16</v>
      </c>
    </row>
    <row r="190" spans="1:13" ht="12" customHeight="1" x14ac:dyDescent="0.25">
      <c r="A190" s="4">
        <v>187</v>
      </c>
      <c r="B190" s="5">
        <v>3383</v>
      </c>
      <c r="C190" s="6" t="s">
        <v>195</v>
      </c>
      <c r="D190" s="6">
        <v>47</v>
      </c>
      <c r="E190" s="4"/>
      <c r="F190" s="7"/>
      <c r="G190" s="4">
        <v>4</v>
      </c>
      <c r="H190" s="8">
        <f t="shared" si="9"/>
        <v>44.65</v>
      </c>
      <c r="I190" s="8">
        <f t="shared" si="7"/>
        <v>2.3500000000000014</v>
      </c>
      <c r="J190" s="7">
        <f t="shared" si="8"/>
        <v>38</v>
      </c>
      <c r="K190" s="6">
        <v>1988</v>
      </c>
      <c r="L190" s="5">
        <v>2026</v>
      </c>
      <c r="M190" s="7" t="s">
        <v>16</v>
      </c>
    </row>
    <row r="191" spans="1:13" ht="12" customHeight="1" x14ac:dyDescent="0.25">
      <c r="A191" s="4">
        <v>188</v>
      </c>
      <c r="B191" s="5">
        <v>3390</v>
      </c>
      <c r="C191" s="6" t="s">
        <v>196</v>
      </c>
      <c r="D191" s="6">
        <v>20</v>
      </c>
      <c r="E191" s="4"/>
      <c r="F191" s="7"/>
      <c r="G191" s="4">
        <v>4</v>
      </c>
      <c r="H191" s="8">
        <f t="shared" si="9"/>
        <v>19</v>
      </c>
      <c r="I191" s="8">
        <f t="shared" si="7"/>
        <v>1</v>
      </c>
      <c r="J191" s="7">
        <f t="shared" si="8"/>
        <v>38</v>
      </c>
      <c r="K191" s="6">
        <v>1988</v>
      </c>
      <c r="L191" s="5">
        <v>2026</v>
      </c>
      <c r="M191" s="7" t="s">
        <v>16</v>
      </c>
    </row>
    <row r="192" spans="1:13" ht="12" customHeight="1" x14ac:dyDescent="0.25">
      <c r="A192" s="4">
        <v>189</v>
      </c>
      <c r="B192" s="5">
        <v>3401</v>
      </c>
      <c r="C192" s="6" t="s">
        <v>197</v>
      </c>
      <c r="D192" s="5">
        <v>10</v>
      </c>
      <c r="E192" s="4"/>
      <c r="F192" s="7"/>
      <c r="G192" s="4">
        <v>4</v>
      </c>
      <c r="H192" s="8">
        <f t="shared" si="9"/>
        <v>9.5</v>
      </c>
      <c r="I192" s="8">
        <f t="shared" si="7"/>
        <v>0.5</v>
      </c>
      <c r="J192" s="7">
        <f t="shared" si="8"/>
        <v>38</v>
      </c>
      <c r="K192" s="5">
        <v>1988</v>
      </c>
      <c r="L192" s="5">
        <v>2026</v>
      </c>
      <c r="M192" s="7" t="s">
        <v>16</v>
      </c>
    </row>
    <row r="193" spans="1:13" ht="12" customHeight="1" x14ac:dyDescent="0.25">
      <c r="A193" s="4">
        <v>190</v>
      </c>
      <c r="B193" s="5">
        <v>3407</v>
      </c>
      <c r="C193" s="6" t="s">
        <v>198</v>
      </c>
      <c r="D193" s="6">
        <v>20</v>
      </c>
      <c r="E193" s="4"/>
      <c r="F193" s="7"/>
      <c r="G193" s="4">
        <v>4</v>
      </c>
      <c r="H193" s="8">
        <f t="shared" si="9"/>
        <v>19</v>
      </c>
      <c r="I193" s="8">
        <f t="shared" si="7"/>
        <v>1</v>
      </c>
      <c r="J193" s="7">
        <f t="shared" si="8"/>
        <v>38</v>
      </c>
      <c r="K193" s="6">
        <v>1988</v>
      </c>
      <c r="L193" s="5">
        <v>2026</v>
      </c>
      <c r="M193" s="7" t="s">
        <v>16</v>
      </c>
    </row>
    <row r="194" spans="1:13" ht="12" customHeight="1" x14ac:dyDescent="0.25">
      <c r="A194" s="4">
        <v>191</v>
      </c>
      <c r="B194" s="5">
        <v>3408</v>
      </c>
      <c r="C194" s="6" t="s">
        <v>199</v>
      </c>
      <c r="D194" s="6">
        <v>20</v>
      </c>
      <c r="E194" s="4"/>
      <c r="F194" s="7"/>
      <c r="G194" s="4">
        <v>4</v>
      </c>
      <c r="H194" s="8">
        <f t="shared" si="9"/>
        <v>19</v>
      </c>
      <c r="I194" s="8">
        <f t="shared" si="7"/>
        <v>1</v>
      </c>
      <c r="J194" s="7">
        <f t="shared" si="8"/>
        <v>38</v>
      </c>
      <c r="K194" s="6">
        <v>1988</v>
      </c>
      <c r="L194" s="5">
        <v>2026</v>
      </c>
      <c r="M194" s="7" t="s">
        <v>16</v>
      </c>
    </row>
    <row r="195" spans="1:13" ht="12" customHeight="1" x14ac:dyDescent="0.25">
      <c r="A195" s="4">
        <v>192</v>
      </c>
      <c r="B195" s="9">
        <v>3477</v>
      </c>
      <c r="C195" s="9" t="s">
        <v>200</v>
      </c>
      <c r="D195" s="9">
        <v>7</v>
      </c>
      <c r="E195" s="4"/>
      <c r="F195" s="7"/>
      <c r="G195" s="4">
        <v>4</v>
      </c>
      <c r="H195" s="8">
        <f t="shared" si="9"/>
        <v>6.6499999999999995</v>
      </c>
      <c r="I195" s="8">
        <f t="shared" si="7"/>
        <v>0.35000000000000053</v>
      </c>
      <c r="J195" s="7">
        <f t="shared" si="8"/>
        <v>38</v>
      </c>
      <c r="K195" s="9">
        <v>1988</v>
      </c>
      <c r="L195" s="5">
        <v>2026</v>
      </c>
      <c r="M195" s="7" t="s">
        <v>16</v>
      </c>
    </row>
    <row r="196" spans="1:13" ht="12" customHeight="1" x14ac:dyDescent="0.25">
      <c r="A196" s="4">
        <v>193</v>
      </c>
      <c r="B196" s="9">
        <v>3480</v>
      </c>
      <c r="C196" s="9" t="s">
        <v>201</v>
      </c>
      <c r="D196" s="9">
        <v>10</v>
      </c>
      <c r="E196" s="4"/>
      <c r="F196" s="7"/>
      <c r="G196" s="4">
        <v>4</v>
      </c>
      <c r="H196" s="8">
        <f t="shared" si="9"/>
        <v>9.5</v>
      </c>
      <c r="I196" s="8">
        <f t="shared" ref="I196:I259" si="10">(D196-H196)</f>
        <v>0.5</v>
      </c>
      <c r="J196" s="7">
        <f t="shared" ref="J196:J259" si="11">(L196-K196)</f>
        <v>38</v>
      </c>
      <c r="K196" s="9">
        <v>1988</v>
      </c>
      <c r="L196" s="5">
        <v>2026</v>
      </c>
      <c r="M196" s="7" t="s">
        <v>16</v>
      </c>
    </row>
    <row r="197" spans="1:13" ht="12" customHeight="1" x14ac:dyDescent="0.25">
      <c r="A197" s="4">
        <v>194</v>
      </c>
      <c r="B197" s="5">
        <v>3481</v>
      </c>
      <c r="C197" s="6" t="s">
        <v>202</v>
      </c>
      <c r="D197" s="5">
        <v>8</v>
      </c>
      <c r="E197" s="4"/>
      <c r="F197" s="7"/>
      <c r="G197" s="4">
        <v>4</v>
      </c>
      <c r="H197" s="8">
        <f t="shared" ref="H197:H260" si="12">D197*0.95</f>
        <v>7.6</v>
      </c>
      <c r="I197" s="8">
        <f t="shared" si="10"/>
        <v>0.40000000000000036</v>
      </c>
      <c r="J197" s="7">
        <f t="shared" si="11"/>
        <v>38</v>
      </c>
      <c r="K197" s="5">
        <v>1988</v>
      </c>
      <c r="L197" s="5">
        <v>2026</v>
      </c>
      <c r="M197" s="7" t="s">
        <v>16</v>
      </c>
    </row>
    <row r="198" spans="1:13" ht="12" customHeight="1" x14ac:dyDescent="0.25">
      <c r="A198" s="4">
        <v>195</v>
      </c>
      <c r="B198" s="9">
        <v>3482</v>
      </c>
      <c r="C198" s="9" t="s">
        <v>203</v>
      </c>
      <c r="D198" s="9">
        <v>8</v>
      </c>
      <c r="E198" s="4"/>
      <c r="F198" s="7"/>
      <c r="G198" s="4">
        <v>4</v>
      </c>
      <c r="H198" s="8">
        <f t="shared" si="12"/>
        <v>7.6</v>
      </c>
      <c r="I198" s="8">
        <f t="shared" si="10"/>
        <v>0.40000000000000036</v>
      </c>
      <c r="J198" s="7">
        <f t="shared" si="11"/>
        <v>38</v>
      </c>
      <c r="K198" s="9">
        <v>1988</v>
      </c>
      <c r="L198" s="5">
        <v>2026</v>
      </c>
      <c r="M198" s="7" t="s">
        <v>16</v>
      </c>
    </row>
    <row r="199" spans="1:13" ht="12" customHeight="1" x14ac:dyDescent="0.25">
      <c r="A199" s="4">
        <v>196</v>
      </c>
      <c r="B199" s="5">
        <v>3483</v>
      </c>
      <c r="C199" s="6" t="s">
        <v>204</v>
      </c>
      <c r="D199" s="5">
        <v>8</v>
      </c>
      <c r="E199" s="4"/>
      <c r="F199" s="7"/>
      <c r="G199" s="4">
        <v>4</v>
      </c>
      <c r="H199" s="8">
        <f t="shared" si="12"/>
        <v>7.6</v>
      </c>
      <c r="I199" s="8">
        <f t="shared" si="10"/>
        <v>0.40000000000000036</v>
      </c>
      <c r="J199" s="7">
        <f t="shared" si="11"/>
        <v>38</v>
      </c>
      <c r="K199" s="6">
        <v>1988</v>
      </c>
      <c r="L199" s="5">
        <v>2026</v>
      </c>
      <c r="M199" s="7" t="s">
        <v>16</v>
      </c>
    </row>
    <row r="200" spans="1:13" ht="12" customHeight="1" x14ac:dyDescent="0.25">
      <c r="A200" s="4">
        <v>197</v>
      </c>
      <c r="B200" s="5">
        <v>3485</v>
      </c>
      <c r="C200" s="6" t="s">
        <v>205</v>
      </c>
      <c r="D200" s="5">
        <v>8</v>
      </c>
      <c r="E200" s="4"/>
      <c r="F200" s="7"/>
      <c r="G200" s="4">
        <v>4</v>
      </c>
      <c r="H200" s="8">
        <f t="shared" si="12"/>
        <v>7.6</v>
      </c>
      <c r="I200" s="8">
        <f t="shared" si="10"/>
        <v>0.40000000000000036</v>
      </c>
      <c r="J200" s="7">
        <f t="shared" si="11"/>
        <v>38</v>
      </c>
      <c r="K200" s="6">
        <v>1988</v>
      </c>
      <c r="L200" s="5">
        <v>2026</v>
      </c>
      <c r="M200" s="7" t="s">
        <v>16</v>
      </c>
    </row>
    <row r="201" spans="1:13" ht="12" customHeight="1" x14ac:dyDescent="0.25">
      <c r="A201" s="4">
        <v>198</v>
      </c>
      <c r="B201" s="5">
        <v>3486</v>
      </c>
      <c r="C201" s="6" t="s">
        <v>206</v>
      </c>
      <c r="D201" s="6">
        <v>10.85</v>
      </c>
      <c r="E201" s="4"/>
      <c r="F201" s="7"/>
      <c r="G201" s="4">
        <v>4</v>
      </c>
      <c r="H201" s="8">
        <f t="shared" si="12"/>
        <v>10.307499999999999</v>
      </c>
      <c r="I201" s="8">
        <f t="shared" si="10"/>
        <v>0.54250000000000043</v>
      </c>
      <c r="J201" s="7">
        <f t="shared" si="11"/>
        <v>37</v>
      </c>
      <c r="K201" s="6">
        <v>1989</v>
      </c>
      <c r="L201" s="5">
        <v>2026</v>
      </c>
      <c r="M201" s="7" t="s">
        <v>16</v>
      </c>
    </row>
    <row r="202" spans="1:13" ht="12" customHeight="1" x14ac:dyDescent="0.25">
      <c r="A202" s="4">
        <v>199</v>
      </c>
      <c r="B202" s="5">
        <v>3490</v>
      </c>
      <c r="C202" s="6" t="s">
        <v>207</v>
      </c>
      <c r="D202" s="5">
        <v>12</v>
      </c>
      <c r="E202" s="4"/>
      <c r="F202" s="7"/>
      <c r="G202" s="4">
        <v>4</v>
      </c>
      <c r="H202" s="8">
        <f t="shared" si="12"/>
        <v>11.399999999999999</v>
      </c>
      <c r="I202" s="8">
        <f t="shared" si="10"/>
        <v>0.60000000000000142</v>
      </c>
      <c r="J202" s="7">
        <f t="shared" si="11"/>
        <v>38</v>
      </c>
      <c r="K202" s="5">
        <v>1988</v>
      </c>
      <c r="L202" s="5">
        <v>2026</v>
      </c>
      <c r="M202" s="7" t="s">
        <v>16</v>
      </c>
    </row>
    <row r="203" spans="1:13" ht="12" customHeight="1" x14ac:dyDescent="0.25">
      <c r="A203" s="4">
        <v>200</v>
      </c>
      <c r="B203" s="9">
        <v>3492</v>
      </c>
      <c r="C203" s="9" t="s">
        <v>208</v>
      </c>
      <c r="D203" s="9">
        <v>312</v>
      </c>
      <c r="E203" s="4"/>
      <c r="F203" s="7"/>
      <c r="G203" s="4">
        <v>4</v>
      </c>
      <c r="H203" s="8">
        <f t="shared" si="12"/>
        <v>296.39999999999998</v>
      </c>
      <c r="I203" s="8">
        <f t="shared" si="10"/>
        <v>15.600000000000023</v>
      </c>
      <c r="J203" s="7">
        <f t="shared" si="11"/>
        <v>38</v>
      </c>
      <c r="K203" s="9">
        <v>1988</v>
      </c>
      <c r="L203" s="5">
        <v>2026</v>
      </c>
      <c r="M203" s="7" t="s">
        <v>16</v>
      </c>
    </row>
    <row r="204" spans="1:13" ht="12" customHeight="1" x14ac:dyDescent="0.25">
      <c r="A204" s="4">
        <v>201</v>
      </c>
      <c r="B204" s="5">
        <v>3496</v>
      </c>
      <c r="C204" s="6" t="s">
        <v>209</v>
      </c>
      <c r="D204" s="6">
        <v>10.85</v>
      </c>
      <c r="E204" s="4"/>
      <c r="F204" s="7"/>
      <c r="G204" s="4">
        <v>4</v>
      </c>
      <c r="H204" s="8">
        <f t="shared" si="12"/>
        <v>10.307499999999999</v>
      </c>
      <c r="I204" s="8">
        <f t="shared" si="10"/>
        <v>0.54250000000000043</v>
      </c>
      <c r="J204" s="7">
        <f t="shared" si="11"/>
        <v>37</v>
      </c>
      <c r="K204" s="6">
        <v>1989</v>
      </c>
      <c r="L204" s="5">
        <v>2026</v>
      </c>
      <c r="M204" s="7" t="s">
        <v>16</v>
      </c>
    </row>
    <row r="205" spans="1:13" ht="12" customHeight="1" x14ac:dyDescent="0.25">
      <c r="A205" s="4">
        <v>202</v>
      </c>
      <c r="B205" s="5">
        <v>3497</v>
      </c>
      <c r="C205" s="6" t="s">
        <v>210</v>
      </c>
      <c r="D205" s="5">
        <v>60</v>
      </c>
      <c r="E205" s="4"/>
      <c r="F205" s="7"/>
      <c r="G205" s="4">
        <v>4</v>
      </c>
      <c r="H205" s="8">
        <f t="shared" si="12"/>
        <v>57</v>
      </c>
      <c r="I205" s="8">
        <f t="shared" si="10"/>
        <v>3</v>
      </c>
      <c r="J205" s="7">
        <f t="shared" si="11"/>
        <v>38</v>
      </c>
      <c r="K205" s="5">
        <v>1988</v>
      </c>
      <c r="L205" s="5">
        <v>2026</v>
      </c>
      <c r="M205" s="7" t="s">
        <v>16</v>
      </c>
    </row>
    <row r="206" spans="1:13" ht="12" customHeight="1" x14ac:dyDescent="0.25">
      <c r="A206" s="4">
        <v>203</v>
      </c>
      <c r="B206" s="9">
        <v>3498</v>
      </c>
      <c r="C206" s="9" t="s">
        <v>211</v>
      </c>
      <c r="D206" s="9">
        <v>75</v>
      </c>
      <c r="E206" s="4"/>
      <c r="F206" s="7"/>
      <c r="G206" s="4">
        <v>4</v>
      </c>
      <c r="H206" s="8">
        <f t="shared" si="12"/>
        <v>71.25</v>
      </c>
      <c r="I206" s="8">
        <f t="shared" si="10"/>
        <v>3.75</v>
      </c>
      <c r="J206" s="7">
        <f t="shared" si="11"/>
        <v>38</v>
      </c>
      <c r="K206" s="9">
        <v>1988</v>
      </c>
      <c r="L206" s="5">
        <v>2026</v>
      </c>
      <c r="M206" s="7" t="s">
        <v>16</v>
      </c>
    </row>
    <row r="207" spans="1:13" ht="12" customHeight="1" x14ac:dyDescent="0.25">
      <c r="A207" s="4">
        <v>204</v>
      </c>
      <c r="B207" s="5">
        <v>3500</v>
      </c>
      <c r="C207" s="6" t="s">
        <v>212</v>
      </c>
      <c r="D207" s="5">
        <v>75</v>
      </c>
      <c r="E207" s="4"/>
      <c r="F207" s="7"/>
      <c r="G207" s="4">
        <v>4</v>
      </c>
      <c r="H207" s="8">
        <f t="shared" si="12"/>
        <v>71.25</v>
      </c>
      <c r="I207" s="8">
        <f t="shared" si="10"/>
        <v>3.75</v>
      </c>
      <c r="J207" s="7">
        <f t="shared" si="11"/>
        <v>38</v>
      </c>
      <c r="K207" s="5">
        <v>1988</v>
      </c>
      <c r="L207" s="5">
        <v>2026</v>
      </c>
      <c r="M207" s="7" t="s">
        <v>16</v>
      </c>
    </row>
    <row r="208" spans="1:13" ht="12" customHeight="1" x14ac:dyDescent="0.25">
      <c r="A208" s="4">
        <v>205</v>
      </c>
      <c r="B208" s="5">
        <v>3501</v>
      </c>
      <c r="C208" s="6" t="s">
        <v>213</v>
      </c>
      <c r="D208" s="6">
        <v>40</v>
      </c>
      <c r="E208" s="4"/>
      <c r="F208" s="7"/>
      <c r="G208" s="4">
        <v>4</v>
      </c>
      <c r="H208" s="8">
        <f t="shared" si="12"/>
        <v>38</v>
      </c>
      <c r="I208" s="8">
        <f t="shared" si="10"/>
        <v>2</v>
      </c>
      <c r="J208" s="7">
        <f t="shared" si="11"/>
        <v>38</v>
      </c>
      <c r="K208" s="6">
        <v>1988</v>
      </c>
      <c r="L208" s="5">
        <v>2026</v>
      </c>
      <c r="M208" s="7" t="s">
        <v>16</v>
      </c>
    </row>
    <row r="209" spans="1:13" ht="12" customHeight="1" x14ac:dyDescent="0.25">
      <c r="A209" s="4">
        <v>206</v>
      </c>
      <c r="B209" s="5">
        <v>3504</v>
      </c>
      <c r="C209" s="6" t="s">
        <v>214</v>
      </c>
      <c r="D209" s="6">
        <v>6</v>
      </c>
      <c r="E209" s="4"/>
      <c r="F209" s="7"/>
      <c r="G209" s="4">
        <v>4</v>
      </c>
      <c r="H209" s="8">
        <f t="shared" si="12"/>
        <v>5.6999999999999993</v>
      </c>
      <c r="I209" s="8">
        <f t="shared" si="10"/>
        <v>0.30000000000000071</v>
      </c>
      <c r="J209" s="7">
        <f t="shared" si="11"/>
        <v>38</v>
      </c>
      <c r="K209" s="6">
        <v>1988</v>
      </c>
      <c r="L209" s="5">
        <v>2026</v>
      </c>
      <c r="M209" s="7" t="s">
        <v>16</v>
      </c>
    </row>
    <row r="210" spans="1:13" ht="12" customHeight="1" x14ac:dyDescent="0.25">
      <c r="A210" s="4">
        <v>207</v>
      </c>
      <c r="B210" s="9">
        <v>3524</v>
      </c>
      <c r="C210" s="9" t="s">
        <v>186</v>
      </c>
      <c r="D210" s="9">
        <v>12</v>
      </c>
      <c r="E210" s="4"/>
      <c r="F210" s="7"/>
      <c r="G210" s="4">
        <v>4</v>
      </c>
      <c r="H210" s="8">
        <f t="shared" si="12"/>
        <v>11.399999999999999</v>
      </c>
      <c r="I210" s="8">
        <f t="shared" si="10"/>
        <v>0.60000000000000142</v>
      </c>
      <c r="J210" s="7">
        <f t="shared" si="11"/>
        <v>38</v>
      </c>
      <c r="K210" s="9">
        <v>1988</v>
      </c>
      <c r="L210" s="5">
        <v>2026</v>
      </c>
      <c r="M210" s="7" t="s">
        <v>16</v>
      </c>
    </row>
    <row r="211" spans="1:13" ht="12" customHeight="1" x14ac:dyDescent="0.25">
      <c r="A211" s="4">
        <v>208</v>
      </c>
      <c r="B211" s="5">
        <v>3532</v>
      </c>
      <c r="C211" s="6" t="s">
        <v>215</v>
      </c>
      <c r="D211" s="5">
        <v>60</v>
      </c>
      <c r="E211" s="4"/>
      <c r="F211" s="7"/>
      <c r="G211" s="4">
        <v>4</v>
      </c>
      <c r="H211" s="8">
        <f t="shared" si="12"/>
        <v>57</v>
      </c>
      <c r="I211" s="8">
        <f t="shared" si="10"/>
        <v>3</v>
      </c>
      <c r="J211" s="7">
        <f t="shared" si="11"/>
        <v>38</v>
      </c>
      <c r="K211" s="5">
        <v>1988</v>
      </c>
      <c r="L211" s="5">
        <v>2026</v>
      </c>
      <c r="M211" s="7" t="s">
        <v>16</v>
      </c>
    </row>
    <row r="212" spans="1:13" ht="12" customHeight="1" x14ac:dyDescent="0.25">
      <c r="A212" s="4">
        <v>209</v>
      </c>
      <c r="B212" s="9">
        <v>3533</v>
      </c>
      <c r="C212" s="9" t="s">
        <v>216</v>
      </c>
      <c r="D212" s="9">
        <v>8</v>
      </c>
      <c r="E212" s="4"/>
      <c r="F212" s="7"/>
      <c r="G212" s="4">
        <v>4</v>
      </c>
      <c r="H212" s="8">
        <f t="shared" si="12"/>
        <v>7.6</v>
      </c>
      <c r="I212" s="8">
        <f t="shared" si="10"/>
        <v>0.40000000000000036</v>
      </c>
      <c r="J212" s="7">
        <f t="shared" si="11"/>
        <v>38</v>
      </c>
      <c r="K212" s="9">
        <v>1988</v>
      </c>
      <c r="L212" s="5">
        <v>2026</v>
      </c>
      <c r="M212" s="7" t="s">
        <v>16</v>
      </c>
    </row>
    <row r="213" spans="1:13" ht="12" customHeight="1" x14ac:dyDescent="0.25">
      <c r="A213" s="4">
        <v>210</v>
      </c>
      <c r="B213" s="9">
        <v>3534</v>
      </c>
      <c r="C213" s="9" t="s">
        <v>217</v>
      </c>
      <c r="D213" s="9">
        <v>10</v>
      </c>
      <c r="E213" s="4"/>
      <c r="F213" s="7"/>
      <c r="G213" s="4">
        <v>4</v>
      </c>
      <c r="H213" s="8">
        <f t="shared" si="12"/>
        <v>9.5</v>
      </c>
      <c r="I213" s="8">
        <f t="shared" si="10"/>
        <v>0.5</v>
      </c>
      <c r="J213" s="7">
        <f t="shared" si="11"/>
        <v>38</v>
      </c>
      <c r="K213" s="9">
        <v>1988</v>
      </c>
      <c r="L213" s="5">
        <v>2026</v>
      </c>
      <c r="M213" s="7" t="s">
        <v>16</v>
      </c>
    </row>
    <row r="214" spans="1:13" ht="12" customHeight="1" x14ac:dyDescent="0.25">
      <c r="A214" s="4">
        <v>211</v>
      </c>
      <c r="B214" s="5">
        <v>3544</v>
      </c>
      <c r="C214" s="6" t="s">
        <v>218</v>
      </c>
      <c r="D214" s="5">
        <v>6</v>
      </c>
      <c r="E214" s="4"/>
      <c r="F214" s="7"/>
      <c r="G214" s="4">
        <v>4</v>
      </c>
      <c r="H214" s="8">
        <f t="shared" si="12"/>
        <v>5.6999999999999993</v>
      </c>
      <c r="I214" s="8">
        <f t="shared" si="10"/>
        <v>0.30000000000000071</v>
      </c>
      <c r="J214" s="7">
        <f t="shared" si="11"/>
        <v>38</v>
      </c>
      <c r="K214" s="5">
        <v>1988</v>
      </c>
      <c r="L214" s="5">
        <v>2026</v>
      </c>
      <c r="M214" s="7" t="s">
        <v>16</v>
      </c>
    </row>
    <row r="215" spans="1:13" ht="12" customHeight="1" x14ac:dyDescent="0.25">
      <c r="A215" s="4">
        <v>212</v>
      </c>
      <c r="B215" s="9">
        <v>3546</v>
      </c>
      <c r="C215" s="9" t="s">
        <v>219</v>
      </c>
      <c r="D215" s="9">
        <v>6</v>
      </c>
      <c r="E215" s="4"/>
      <c r="F215" s="7"/>
      <c r="G215" s="4">
        <v>4</v>
      </c>
      <c r="H215" s="8">
        <f t="shared" si="12"/>
        <v>5.6999999999999993</v>
      </c>
      <c r="I215" s="8">
        <f t="shared" si="10"/>
        <v>0.30000000000000071</v>
      </c>
      <c r="J215" s="7">
        <f t="shared" si="11"/>
        <v>38</v>
      </c>
      <c r="K215" s="9">
        <v>1988</v>
      </c>
      <c r="L215" s="5">
        <v>2026</v>
      </c>
      <c r="M215" s="7" t="s">
        <v>16</v>
      </c>
    </row>
    <row r="216" spans="1:13" ht="12" customHeight="1" x14ac:dyDescent="0.25">
      <c r="A216" s="4">
        <v>213</v>
      </c>
      <c r="B216" s="5">
        <v>3547</v>
      </c>
      <c r="C216" s="6" t="s">
        <v>220</v>
      </c>
      <c r="D216" s="6">
        <v>6</v>
      </c>
      <c r="E216" s="4"/>
      <c r="F216" s="7"/>
      <c r="G216" s="4">
        <v>4</v>
      </c>
      <c r="H216" s="8">
        <f t="shared" si="12"/>
        <v>5.6999999999999993</v>
      </c>
      <c r="I216" s="8">
        <f t="shared" si="10"/>
        <v>0.30000000000000071</v>
      </c>
      <c r="J216" s="7">
        <f t="shared" si="11"/>
        <v>38</v>
      </c>
      <c r="K216" s="6">
        <v>1988</v>
      </c>
      <c r="L216" s="5">
        <v>2026</v>
      </c>
      <c r="M216" s="7" t="s">
        <v>16</v>
      </c>
    </row>
    <row r="217" spans="1:13" ht="12" customHeight="1" x14ac:dyDescent="0.25">
      <c r="A217" s="4">
        <v>214</v>
      </c>
      <c r="B217" s="5">
        <v>3552</v>
      </c>
      <c r="C217" s="6" t="s">
        <v>221</v>
      </c>
      <c r="D217" s="5">
        <v>8</v>
      </c>
      <c r="E217" s="4"/>
      <c r="F217" s="7"/>
      <c r="G217" s="4">
        <v>4</v>
      </c>
      <c r="H217" s="8">
        <f t="shared" si="12"/>
        <v>7.6</v>
      </c>
      <c r="I217" s="8">
        <f t="shared" si="10"/>
        <v>0.40000000000000036</v>
      </c>
      <c r="J217" s="7">
        <f t="shared" si="11"/>
        <v>38</v>
      </c>
      <c r="K217" s="5">
        <v>1988</v>
      </c>
      <c r="L217" s="5">
        <v>2026</v>
      </c>
      <c r="M217" s="7" t="s">
        <v>16</v>
      </c>
    </row>
    <row r="218" spans="1:13" ht="12" customHeight="1" x14ac:dyDescent="0.25">
      <c r="A218" s="4">
        <v>215</v>
      </c>
      <c r="B218" s="5">
        <v>3555</v>
      </c>
      <c r="C218" s="6" t="s">
        <v>222</v>
      </c>
      <c r="D218" s="5">
        <v>5</v>
      </c>
      <c r="E218" s="4"/>
      <c r="F218" s="7"/>
      <c r="G218" s="4">
        <v>4</v>
      </c>
      <c r="H218" s="8">
        <f t="shared" si="12"/>
        <v>4.75</v>
      </c>
      <c r="I218" s="8">
        <f t="shared" si="10"/>
        <v>0.25</v>
      </c>
      <c r="J218" s="7">
        <f t="shared" si="11"/>
        <v>38</v>
      </c>
      <c r="K218" s="5">
        <v>1988</v>
      </c>
      <c r="L218" s="5">
        <v>2026</v>
      </c>
      <c r="M218" s="7" t="s">
        <v>16</v>
      </c>
    </row>
    <row r="219" spans="1:13" ht="12" customHeight="1" x14ac:dyDescent="0.25">
      <c r="A219" s="4">
        <v>216</v>
      </c>
      <c r="B219" s="5">
        <v>3563</v>
      </c>
      <c r="C219" s="6" t="s">
        <v>223</v>
      </c>
      <c r="D219" s="6">
        <v>12</v>
      </c>
      <c r="E219" s="4"/>
      <c r="F219" s="7"/>
      <c r="G219" s="4">
        <v>4</v>
      </c>
      <c r="H219" s="8">
        <f t="shared" si="12"/>
        <v>11.399999999999999</v>
      </c>
      <c r="I219" s="8">
        <f t="shared" si="10"/>
        <v>0.60000000000000142</v>
      </c>
      <c r="J219" s="7">
        <f t="shared" si="11"/>
        <v>38</v>
      </c>
      <c r="K219" s="6">
        <v>1988</v>
      </c>
      <c r="L219" s="5">
        <v>2026</v>
      </c>
      <c r="M219" s="7" t="s">
        <v>16</v>
      </c>
    </row>
    <row r="220" spans="1:13" ht="12" customHeight="1" x14ac:dyDescent="0.25">
      <c r="A220" s="4">
        <v>217</v>
      </c>
      <c r="B220" s="5">
        <v>3584</v>
      </c>
      <c r="C220" s="6" t="s">
        <v>224</v>
      </c>
      <c r="D220" s="6">
        <v>10.85</v>
      </c>
      <c r="E220" s="4"/>
      <c r="F220" s="7"/>
      <c r="G220" s="4">
        <v>4</v>
      </c>
      <c r="H220" s="8">
        <f t="shared" si="12"/>
        <v>10.307499999999999</v>
      </c>
      <c r="I220" s="8">
        <f t="shared" si="10"/>
        <v>0.54250000000000043</v>
      </c>
      <c r="J220" s="7">
        <f t="shared" si="11"/>
        <v>37</v>
      </c>
      <c r="K220" s="6">
        <v>1989</v>
      </c>
      <c r="L220" s="5">
        <v>2026</v>
      </c>
      <c r="M220" s="7" t="s">
        <v>16</v>
      </c>
    </row>
    <row r="221" spans="1:13" ht="12" customHeight="1" x14ac:dyDescent="0.25">
      <c r="A221" s="4">
        <v>218</v>
      </c>
      <c r="B221" s="5">
        <v>3585</v>
      </c>
      <c r="C221" s="6" t="s">
        <v>224</v>
      </c>
      <c r="D221" s="6">
        <v>10.85</v>
      </c>
      <c r="E221" s="4"/>
      <c r="F221" s="7"/>
      <c r="G221" s="4">
        <v>4</v>
      </c>
      <c r="H221" s="8">
        <f t="shared" si="12"/>
        <v>10.307499999999999</v>
      </c>
      <c r="I221" s="8">
        <f t="shared" si="10"/>
        <v>0.54250000000000043</v>
      </c>
      <c r="J221" s="7">
        <f t="shared" si="11"/>
        <v>37</v>
      </c>
      <c r="K221" s="6">
        <v>1989</v>
      </c>
      <c r="L221" s="5">
        <v>2026</v>
      </c>
      <c r="M221" s="7" t="s">
        <v>16</v>
      </c>
    </row>
    <row r="222" spans="1:13" ht="12" customHeight="1" x14ac:dyDescent="0.25">
      <c r="A222" s="4">
        <v>219</v>
      </c>
      <c r="B222" s="5">
        <v>3586</v>
      </c>
      <c r="C222" s="6" t="s">
        <v>224</v>
      </c>
      <c r="D222" s="6">
        <v>10.85</v>
      </c>
      <c r="E222" s="4"/>
      <c r="F222" s="7"/>
      <c r="G222" s="4">
        <v>4</v>
      </c>
      <c r="H222" s="8">
        <f t="shared" si="12"/>
        <v>10.307499999999999</v>
      </c>
      <c r="I222" s="8">
        <f t="shared" si="10"/>
        <v>0.54250000000000043</v>
      </c>
      <c r="J222" s="7">
        <f t="shared" si="11"/>
        <v>37</v>
      </c>
      <c r="K222" s="6">
        <v>1989</v>
      </c>
      <c r="L222" s="5">
        <v>2026</v>
      </c>
      <c r="M222" s="7" t="s">
        <v>16</v>
      </c>
    </row>
    <row r="223" spans="1:13" ht="12" customHeight="1" x14ac:dyDescent="0.25">
      <c r="A223" s="4">
        <v>220</v>
      </c>
      <c r="B223" s="5">
        <v>3587</v>
      </c>
      <c r="C223" s="9" t="s">
        <v>225</v>
      </c>
      <c r="D223" s="6">
        <v>10.85</v>
      </c>
      <c r="E223" s="4"/>
      <c r="F223" s="7"/>
      <c r="G223" s="4">
        <v>4</v>
      </c>
      <c r="H223" s="8">
        <f t="shared" si="12"/>
        <v>10.307499999999999</v>
      </c>
      <c r="I223" s="8">
        <f t="shared" si="10"/>
        <v>0.54250000000000043</v>
      </c>
      <c r="J223" s="7">
        <f t="shared" si="11"/>
        <v>37</v>
      </c>
      <c r="K223" s="6">
        <v>1989</v>
      </c>
      <c r="L223" s="5">
        <v>2026</v>
      </c>
      <c r="M223" s="7" t="s">
        <v>16</v>
      </c>
    </row>
    <row r="224" spans="1:13" ht="12" customHeight="1" x14ac:dyDescent="0.25">
      <c r="A224" s="4">
        <v>221</v>
      </c>
      <c r="B224" s="5">
        <v>3588</v>
      </c>
      <c r="C224" s="9" t="s">
        <v>225</v>
      </c>
      <c r="D224" s="6">
        <v>10.85</v>
      </c>
      <c r="E224" s="4"/>
      <c r="F224" s="7"/>
      <c r="G224" s="4">
        <v>4</v>
      </c>
      <c r="H224" s="8">
        <f t="shared" si="12"/>
        <v>10.307499999999999</v>
      </c>
      <c r="I224" s="8">
        <f t="shared" si="10"/>
        <v>0.54250000000000043</v>
      </c>
      <c r="J224" s="7">
        <f t="shared" si="11"/>
        <v>37</v>
      </c>
      <c r="K224" s="6">
        <v>1989</v>
      </c>
      <c r="L224" s="5">
        <v>2026</v>
      </c>
      <c r="M224" s="7" t="s">
        <v>16</v>
      </c>
    </row>
    <row r="225" spans="1:13" ht="12" customHeight="1" x14ac:dyDescent="0.25">
      <c r="A225" s="4">
        <v>222</v>
      </c>
      <c r="B225" s="5">
        <v>3589</v>
      </c>
      <c r="C225" s="6" t="s">
        <v>226</v>
      </c>
      <c r="D225" s="6">
        <v>10.85</v>
      </c>
      <c r="E225" s="4"/>
      <c r="F225" s="7"/>
      <c r="G225" s="4">
        <v>4</v>
      </c>
      <c r="H225" s="8">
        <f t="shared" si="12"/>
        <v>10.307499999999999</v>
      </c>
      <c r="I225" s="8">
        <f t="shared" si="10"/>
        <v>0.54250000000000043</v>
      </c>
      <c r="J225" s="7">
        <f t="shared" si="11"/>
        <v>37</v>
      </c>
      <c r="K225" s="6">
        <v>1989</v>
      </c>
      <c r="L225" s="5">
        <v>2026</v>
      </c>
      <c r="M225" s="7" t="s">
        <v>16</v>
      </c>
    </row>
    <row r="226" spans="1:13" ht="12" customHeight="1" x14ac:dyDescent="0.25">
      <c r="A226" s="4">
        <v>223</v>
      </c>
      <c r="B226" s="5">
        <v>3590</v>
      </c>
      <c r="C226" s="6" t="s">
        <v>226</v>
      </c>
      <c r="D226" s="6">
        <v>10.85</v>
      </c>
      <c r="E226" s="4"/>
      <c r="F226" s="7"/>
      <c r="G226" s="4">
        <v>4</v>
      </c>
      <c r="H226" s="8">
        <f t="shared" si="12"/>
        <v>10.307499999999999</v>
      </c>
      <c r="I226" s="8">
        <f t="shared" si="10"/>
        <v>0.54250000000000043</v>
      </c>
      <c r="J226" s="7">
        <f t="shared" si="11"/>
        <v>37</v>
      </c>
      <c r="K226" s="6">
        <v>1989</v>
      </c>
      <c r="L226" s="5">
        <v>2026</v>
      </c>
      <c r="M226" s="7" t="s">
        <v>16</v>
      </c>
    </row>
    <row r="227" spans="1:13" ht="12" customHeight="1" x14ac:dyDescent="0.25">
      <c r="A227" s="4">
        <v>224</v>
      </c>
      <c r="B227" s="5">
        <v>3591</v>
      </c>
      <c r="C227" s="9" t="s">
        <v>225</v>
      </c>
      <c r="D227" s="6">
        <v>10.85</v>
      </c>
      <c r="E227" s="4"/>
      <c r="F227" s="7"/>
      <c r="G227" s="4">
        <v>4</v>
      </c>
      <c r="H227" s="8">
        <f t="shared" si="12"/>
        <v>10.307499999999999</v>
      </c>
      <c r="I227" s="8">
        <f t="shared" si="10"/>
        <v>0.54250000000000043</v>
      </c>
      <c r="J227" s="7">
        <f t="shared" si="11"/>
        <v>37</v>
      </c>
      <c r="K227" s="6">
        <v>1989</v>
      </c>
      <c r="L227" s="5">
        <v>2026</v>
      </c>
      <c r="M227" s="7" t="s">
        <v>16</v>
      </c>
    </row>
    <row r="228" spans="1:13" ht="12" customHeight="1" x14ac:dyDescent="0.25">
      <c r="A228" s="4">
        <v>225</v>
      </c>
      <c r="B228" s="5">
        <v>3592</v>
      </c>
      <c r="C228" s="6" t="s">
        <v>226</v>
      </c>
      <c r="D228" s="6">
        <v>10.85</v>
      </c>
      <c r="E228" s="4"/>
      <c r="F228" s="7"/>
      <c r="G228" s="4">
        <v>4</v>
      </c>
      <c r="H228" s="8">
        <f t="shared" si="12"/>
        <v>10.307499999999999</v>
      </c>
      <c r="I228" s="8">
        <f t="shared" si="10"/>
        <v>0.54250000000000043</v>
      </c>
      <c r="J228" s="7">
        <f t="shared" si="11"/>
        <v>37</v>
      </c>
      <c r="K228" s="6">
        <v>1989</v>
      </c>
      <c r="L228" s="5">
        <v>2026</v>
      </c>
      <c r="M228" s="7" t="s">
        <v>16</v>
      </c>
    </row>
    <row r="229" spans="1:13" ht="12" customHeight="1" x14ac:dyDescent="0.25">
      <c r="A229" s="4">
        <v>226</v>
      </c>
      <c r="B229" s="5">
        <v>3593</v>
      </c>
      <c r="C229" s="6" t="s">
        <v>226</v>
      </c>
      <c r="D229" s="6">
        <v>10.85</v>
      </c>
      <c r="E229" s="4"/>
      <c r="F229" s="7"/>
      <c r="G229" s="4">
        <v>4</v>
      </c>
      <c r="H229" s="8">
        <f t="shared" si="12"/>
        <v>10.307499999999999</v>
      </c>
      <c r="I229" s="8">
        <f t="shared" si="10"/>
        <v>0.54250000000000043</v>
      </c>
      <c r="J229" s="7">
        <f t="shared" si="11"/>
        <v>37</v>
      </c>
      <c r="K229" s="6">
        <v>1989</v>
      </c>
      <c r="L229" s="5">
        <v>2026</v>
      </c>
      <c r="M229" s="7" t="s">
        <v>16</v>
      </c>
    </row>
    <row r="230" spans="1:13" ht="12" customHeight="1" x14ac:dyDescent="0.25">
      <c r="A230" s="4">
        <v>227</v>
      </c>
      <c r="B230" s="5">
        <v>3594</v>
      </c>
      <c r="C230" s="9" t="s">
        <v>225</v>
      </c>
      <c r="D230" s="6">
        <v>10.85</v>
      </c>
      <c r="E230" s="4"/>
      <c r="F230" s="7"/>
      <c r="G230" s="4">
        <v>4</v>
      </c>
      <c r="H230" s="8">
        <f t="shared" si="12"/>
        <v>10.307499999999999</v>
      </c>
      <c r="I230" s="8">
        <f t="shared" si="10"/>
        <v>0.54250000000000043</v>
      </c>
      <c r="J230" s="7">
        <f t="shared" si="11"/>
        <v>37</v>
      </c>
      <c r="K230" s="6">
        <v>1989</v>
      </c>
      <c r="L230" s="5">
        <v>2026</v>
      </c>
      <c r="M230" s="7" t="s">
        <v>16</v>
      </c>
    </row>
    <row r="231" spans="1:13" ht="12" customHeight="1" x14ac:dyDescent="0.25">
      <c r="A231" s="4">
        <v>228</v>
      </c>
      <c r="B231" s="5">
        <v>3595</v>
      </c>
      <c r="C231" s="9" t="s">
        <v>225</v>
      </c>
      <c r="D231" s="6">
        <v>10.85</v>
      </c>
      <c r="E231" s="4"/>
      <c r="F231" s="7"/>
      <c r="G231" s="4">
        <v>4</v>
      </c>
      <c r="H231" s="8">
        <f t="shared" si="12"/>
        <v>10.307499999999999</v>
      </c>
      <c r="I231" s="8">
        <f t="shared" si="10"/>
        <v>0.54250000000000043</v>
      </c>
      <c r="J231" s="7">
        <f t="shared" si="11"/>
        <v>37</v>
      </c>
      <c r="K231" s="6">
        <v>1989</v>
      </c>
      <c r="L231" s="5">
        <v>2026</v>
      </c>
      <c r="M231" s="7" t="s">
        <v>16</v>
      </c>
    </row>
    <row r="232" spans="1:13" ht="12" customHeight="1" x14ac:dyDescent="0.25">
      <c r="A232" s="4">
        <v>229</v>
      </c>
      <c r="B232" s="5">
        <v>3596</v>
      </c>
      <c r="C232" s="6" t="s">
        <v>226</v>
      </c>
      <c r="D232" s="6">
        <v>10.85</v>
      </c>
      <c r="E232" s="4"/>
      <c r="F232" s="7"/>
      <c r="G232" s="4">
        <v>4</v>
      </c>
      <c r="H232" s="8">
        <f t="shared" si="12"/>
        <v>10.307499999999999</v>
      </c>
      <c r="I232" s="8">
        <f t="shared" si="10"/>
        <v>0.54250000000000043</v>
      </c>
      <c r="J232" s="7">
        <f t="shared" si="11"/>
        <v>37</v>
      </c>
      <c r="K232" s="6">
        <v>1989</v>
      </c>
      <c r="L232" s="5">
        <v>2026</v>
      </c>
      <c r="M232" s="7" t="s">
        <v>16</v>
      </c>
    </row>
    <row r="233" spans="1:13" ht="12" customHeight="1" x14ac:dyDescent="0.25">
      <c r="A233" s="4">
        <v>230</v>
      </c>
      <c r="B233" s="5">
        <v>3597</v>
      </c>
      <c r="C233" s="9" t="s">
        <v>225</v>
      </c>
      <c r="D233" s="6">
        <v>10.85</v>
      </c>
      <c r="E233" s="4"/>
      <c r="F233" s="7"/>
      <c r="G233" s="4">
        <v>4</v>
      </c>
      <c r="H233" s="8">
        <f t="shared" si="12"/>
        <v>10.307499999999999</v>
      </c>
      <c r="I233" s="8">
        <f t="shared" si="10"/>
        <v>0.54250000000000043</v>
      </c>
      <c r="J233" s="7">
        <f t="shared" si="11"/>
        <v>37</v>
      </c>
      <c r="K233" s="6">
        <v>1989</v>
      </c>
      <c r="L233" s="5">
        <v>2026</v>
      </c>
      <c r="M233" s="7" t="s">
        <v>16</v>
      </c>
    </row>
    <row r="234" spans="1:13" ht="12" customHeight="1" x14ac:dyDescent="0.25">
      <c r="A234" s="4">
        <v>231</v>
      </c>
      <c r="B234" s="5">
        <v>3598</v>
      </c>
      <c r="C234" s="9" t="s">
        <v>225</v>
      </c>
      <c r="D234" s="6">
        <v>10.85</v>
      </c>
      <c r="E234" s="4"/>
      <c r="F234" s="7"/>
      <c r="G234" s="4">
        <v>4</v>
      </c>
      <c r="H234" s="8">
        <f t="shared" si="12"/>
        <v>10.307499999999999</v>
      </c>
      <c r="I234" s="8">
        <f t="shared" si="10"/>
        <v>0.54250000000000043</v>
      </c>
      <c r="J234" s="7">
        <f t="shared" si="11"/>
        <v>37</v>
      </c>
      <c r="K234" s="6">
        <v>1989</v>
      </c>
      <c r="L234" s="5">
        <v>2026</v>
      </c>
      <c r="M234" s="7" t="s">
        <v>16</v>
      </c>
    </row>
    <row r="235" spans="1:13" ht="12" customHeight="1" x14ac:dyDescent="0.25">
      <c r="A235" s="4">
        <v>232</v>
      </c>
      <c r="B235" s="5">
        <v>3599</v>
      </c>
      <c r="C235" s="9" t="s">
        <v>225</v>
      </c>
      <c r="D235" s="6">
        <v>10.85</v>
      </c>
      <c r="E235" s="4"/>
      <c r="F235" s="7"/>
      <c r="G235" s="4">
        <v>4</v>
      </c>
      <c r="H235" s="8">
        <f t="shared" si="12"/>
        <v>10.307499999999999</v>
      </c>
      <c r="I235" s="8">
        <f t="shared" si="10"/>
        <v>0.54250000000000043</v>
      </c>
      <c r="J235" s="7">
        <f t="shared" si="11"/>
        <v>37</v>
      </c>
      <c r="K235" s="6">
        <v>1989</v>
      </c>
      <c r="L235" s="5">
        <v>2026</v>
      </c>
      <c r="M235" s="7" t="s">
        <v>16</v>
      </c>
    </row>
    <row r="236" spans="1:13" ht="12" customHeight="1" x14ac:dyDescent="0.25">
      <c r="A236" s="4">
        <v>233</v>
      </c>
      <c r="B236" s="5">
        <v>3600</v>
      </c>
      <c r="C236" s="9" t="s">
        <v>225</v>
      </c>
      <c r="D236" s="6">
        <v>10.85</v>
      </c>
      <c r="E236" s="4"/>
      <c r="F236" s="7"/>
      <c r="G236" s="4">
        <v>4</v>
      </c>
      <c r="H236" s="8">
        <f t="shared" si="12"/>
        <v>10.307499999999999</v>
      </c>
      <c r="I236" s="8">
        <f t="shared" si="10"/>
        <v>0.54250000000000043</v>
      </c>
      <c r="J236" s="7">
        <f t="shared" si="11"/>
        <v>37</v>
      </c>
      <c r="K236" s="6">
        <v>1989</v>
      </c>
      <c r="L236" s="5">
        <v>2026</v>
      </c>
      <c r="M236" s="7" t="s">
        <v>16</v>
      </c>
    </row>
    <row r="237" spans="1:13" ht="12" customHeight="1" x14ac:dyDescent="0.25">
      <c r="A237" s="4">
        <v>234</v>
      </c>
      <c r="B237" s="5">
        <v>3601</v>
      </c>
      <c r="C237" s="6" t="s">
        <v>226</v>
      </c>
      <c r="D237" s="6">
        <v>10.85</v>
      </c>
      <c r="E237" s="4"/>
      <c r="F237" s="7"/>
      <c r="G237" s="4">
        <v>4</v>
      </c>
      <c r="H237" s="8">
        <f t="shared" si="12"/>
        <v>10.307499999999999</v>
      </c>
      <c r="I237" s="8">
        <f t="shared" si="10"/>
        <v>0.54250000000000043</v>
      </c>
      <c r="J237" s="7">
        <f t="shared" si="11"/>
        <v>37</v>
      </c>
      <c r="K237" s="6">
        <v>1989</v>
      </c>
      <c r="L237" s="5">
        <v>2026</v>
      </c>
      <c r="M237" s="7" t="s">
        <v>16</v>
      </c>
    </row>
    <row r="238" spans="1:13" ht="12" customHeight="1" x14ac:dyDescent="0.25">
      <c r="A238" s="4">
        <v>235</v>
      </c>
      <c r="B238" s="5">
        <v>3602</v>
      </c>
      <c r="C238" s="6" t="s">
        <v>224</v>
      </c>
      <c r="D238" s="6">
        <v>10.85</v>
      </c>
      <c r="E238" s="4"/>
      <c r="F238" s="7"/>
      <c r="G238" s="4">
        <v>4</v>
      </c>
      <c r="H238" s="8">
        <f t="shared" si="12"/>
        <v>10.307499999999999</v>
      </c>
      <c r="I238" s="8">
        <f t="shared" si="10"/>
        <v>0.54250000000000043</v>
      </c>
      <c r="J238" s="7">
        <f t="shared" si="11"/>
        <v>37</v>
      </c>
      <c r="K238" s="6">
        <v>1989</v>
      </c>
      <c r="L238" s="5">
        <v>2026</v>
      </c>
      <c r="M238" s="7" t="s">
        <v>16</v>
      </c>
    </row>
    <row r="239" spans="1:13" ht="12" customHeight="1" x14ac:dyDescent="0.25">
      <c r="A239" s="4">
        <v>236</v>
      </c>
      <c r="B239" s="5">
        <v>3603</v>
      </c>
      <c r="C239" s="9" t="s">
        <v>225</v>
      </c>
      <c r="D239" s="6">
        <v>10.85</v>
      </c>
      <c r="E239" s="4"/>
      <c r="F239" s="7"/>
      <c r="G239" s="4">
        <v>4</v>
      </c>
      <c r="H239" s="8">
        <f t="shared" si="12"/>
        <v>10.307499999999999</v>
      </c>
      <c r="I239" s="8">
        <f t="shared" si="10"/>
        <v>0.54250000000000043</v>
      </c>
      <c r="J239" s="7">
        <f t="shared" si="11"/>
        <v>37</v>
      </c>
      <c r="K239" s="6">
        <v>1989</v>
      </c>
      <c r="L239" s="5">
        <v>2026</v>
      </c>
      <c r="M239" s="7" t="s">
        <v>16</v>
      </c>
    </row>
    <row r="240" spans="1:13" ht="12" customHeight="1" x14ac:dyDescent="0.25">
      <c r="A240" s="4">
        <v>237</v>
      </c>
      <c r="B240" s="5">
        <v>3604</v>
      </c>
      <c r="C240" s="6" t="s">
        <v>226</v>
      </c>
      <c r="D240" s="6">
        <v>10.85</v>
      </c>
      <c r="E240" s="4"/>
      <c r="F240" s="7"/>
      <c r="G240" s="4">
        <v>4</v>
      </c>
      <c r="H240" s="8">
        <f t="shared" si="12"/>
        <v>10.307499999999999</v>
      </c>
      <c r="I240" s="8">
        <f t="shared" si="10"/>
        <v>0.54250000000000043</v>
      </c>
      <c r="J240" s="7">
        <f t="shared" si="11"/>
        <v>37</v>
      </c>
      <c r="K240" s="6">
        <v>1989</v>
      </c>
      <c r="L240" s="5">
        <v>2026</v>
      </c>
      <c r="M240" s="7" t="s">
        <v>16</v>
      </c>
    </row>
    <row r="241" spans="1:13" ht="12" customHeight="1" x14ac:dyDescent="0.25">
      <c r="A241" s="4">
        <v>238</v>
      </c>
      <c r="B241" s="5">
        <v>3605</v>
      </c>
      <c r="C241" s="6" t="s">
        <v>226</v>
      </c>
      <c r="D241" s="6">
        <v>10.85</v>
      </c>
      <c r="E241" s="4"/>
      <c r="F241" s="7"/>
      <c r="G241" s="4">
        <v>4</v>
      </c>
      <c r="H241" s="8">
        <f t="shared" si="12"/>
        <v>10.307499999999999</v>
      </c>
      <c r="I241" s="8">
        <f t="shared" si="10"/>
        <v>0.54250000000000043</v>
      </c>
      <c r="J241" s="7">
        <f t="shared" si="11"/>
        <v>37</v>
      </c>
      <c r="K241" s="6">
        <v>1989</v>
      </c>
      <c r="L241" s="5">
        <v>2026</v>
      </c>
      <c r="M241" s="7" t="s">
        <v>16</v>
      </c>
    </row>
    <row r="242" spans="1:13" ht="12" customHeight="1" x14ac:dyDescent="0.25">
      <c r="A242" s="4">
        <v>239</v>
      </c>
      <c r="B242" s="5">
        <v>3606</v>
      </c>
      <c r="C242" s="9" t="s">
        <v>225</v>
      </c>
      <c r="D242" s="6">
        <v>10.85</v>
      </c>
      <c r="E242" s="4"/>
      <c r="F242" s="7"/>
      <c r="G242" s="4">
        <v>4</v>
      </c>
      <c r="H242" s="8">
        <f t="shared" si="12"/>
        <v>10.307499999999999</v>
      </c>
      <c r="I242" s="8">
        <f t="shared" si="10"/>
        <v>0.54250000000000043</v>
      </c>
      <c r="J242" s="7">
        <f t="shared" si="11"/>
        <v>37</v>
      </c>
      <c r="K242" s="6">
        <v>1989</v>
      </c>
      <c r="L242" s="5">
        <v>2026</v>
      </c>
      <c r="M242" s="7" t="s">
        <v>16</v>
      </c>
    </row>
    <row r="243" spans="1:13" ht="12" customHeight="1" x14ac:dyDescent="0.25">
      <c r="A243" s="4">
        <v>240</v>
      </c>
      <c r="B243" s="5">
        <v>3607</v>
      </c>
      <c r="C243" s="6" t="s">
        <v>226</v>
      </c>
      <c r="D243" s="6">
        <v>10.85</v>
      </c>
      <c r="E243" s="4"/>
      <c r="F243" s="7"/>
      <c r="G243" s="4">
        <v>4</v>
      </c>
      <c r="H243" s="8">
        <f t="shared" si="12"/>
        <v>10.307499999999999</v>
      </c>
      <c r="I243" s="8">
        <f t="shared" si="10"/>
        <v>0.54250000000000043</v>
      </c>
      <c r="J243" s="7">
        <f t="shared" si="11"/>
        <v>37</v>
      </c>
      <c r="K243" s="6">
        <v>1989</v>
      </c>
      <c r="L243" s="5">
        <v>2026</v>
      </c>
      <c r="M243" s="7" t="s">
        <v>16</v>
      </c>
    </row>
    <row r="244" spans="1:13" ht="12" customHeight="1" x14ac:dyDescent="0.25">
      <c r="A244" s="4">
        <v>241</v>
      </c>
      <c r="B244" s="5">
        <v>3608</v>
      </c>
      <c r="C244" s="6" t="s">
        <v>226</v>
      </c>
      <c r="D244" s="6">
        <v>10.85</v>
      </c>
      <c r="E244" s="4"/>
      <c r="F244" s="7"/>
      <c r="G244" s="4">
        <v>4</v>
      </c>
      <c r="H244" s="8">
        <f t="shared" si="12"/>
        <v>10.307499999999999</v>
      </c>
      <c r="I244" s="8">
        <f t="shared" si="10"/>
        <v>0.54250000000000043</v>
      </c>
      <c r="J244" s="7">
        <f t="shared" si="11"/>
        <v>37</v>
      </c>
      <c r="K244" s="6">
        <v>1989</v>
      </c>
      <c r="L244" s="5">
        <v>2026</v>
      </c>
      <c r="M244" s="7" t="s">
        <v>16</v>
      </c>
    </row>
    <row r="245" spans="1:13" ht="12" customHeight="1" x14ac:dyDescent="0.25">
      <c r="A245" s="4">
        <v>242</v>
      </c>
      <c r="B245" s="5">
        <v>3609</v>
      </c>
      <c r="C245" s="9" t="s">
        <v>225</v>
      </c>
      <c r="D245" s="6">
        <v>10.85</v>
      </c>
      <c r="E245" s="4"/>
      <c r="F245" s="7"/>
      <c r="G245" s="4">
        <v>4</v>
      </c>
      <c r="H245" s="8">
        <f t="shared" si="12"/>
        <v>10.307499999999999</v>
      </c>
      <c r="I245" s="8">
        <f t="shared" si="10"/>
        <v>0.54250000000000043</v>
      </c>
      <c r="J245" s="7">
        <f t="shared" si="11"/>
        <v>37</v>
      </c>
      <c r="K245" s="6">
        <v>1989</v>
      </c>
      <c r="L245" s="5">
        <v>2026</v>
      </c>
      <c r="M245" s="7" t="s">
        <v>16</v>
      </c>
    </row>
    <row r="246" spans="1:13" ht="12" customHeight="1" x14ac:dyDescent="0.25">
      <c r="A246" s="4">
        <v>243</v>
      </c>
      <c r="B246" s="5">
        <v>3610</v>
      </c>
      <c r="C246" s="9" t="s">
        <v>225</v>
      </c>
      <c r="D246" s="6">
        <v>10.85</v>
      </c>
      <c r="E246" s="4"/>
      <c r="F246" s="7"/>
      <c r="G246" s="4">
        <v>4</v>
      </c>
      <c r="H246" s="8">
        <f t="shared" si="12"/>
        <v>10.307499999999999</v>
      </c>
      <c r="I246" s="8">
        <f t="shared" si="10"/>
        <v>0.54250000000000043</v>
      </c>
      <c r="J246" s="7">
        <f t="shared" si="11"/>
        <v>37</v>
      </c>
      <c r="K246" s="6">
        <v>1989</v>
      </c>
      <c r="L246" s="5">
        <v>2026</v>
      </c>
      <c r="M246" s="7" t="s">
        <v>16</v>
      </c>
    </row>
    <row r="247" spans="1:13" ht="12" customHeight="1" x14ac:dyDescent="0.25">
      <c r="A247" s="4">
        <v>244</v>
      </c>
      <c r="B247" s="5">
        <v>3611</v>
      </c>
      <c r="C247" s="6" t="s">
        <v>226</v>
      </c>
      <c r="D247" s="6">
        <v>10.85</v>
      </c>
      <c r="E247" s="4"/>
      <c r="F247" s="7"/>
      <c r="G247" s="4">
        <v>4</v>
      </c>
      <c r="H247" s="8">
        <f t="shared" si="12"/>
        <v>10.307499999999999</v>
      </c>
      <c r="I247" s="8">
        <f t="shared" si="10"/>
        <v>0.54250000000000043</v>
      </c>
      <c r="J247" s="7">
        <f t="shared" si="11"/>
        <v>37</v>
      </c>
      <c r="K247" s="6">
        <v>1989</v>
      </c>
      <c r="L247" s="5">
        <v>2026</v>
      </c>
      <c r="M247" s="7" t="s">
        <v>16</v>
      </c>
    </row>
    <row r="248" spans="1:13" ht="12" customHeight="1" x14ac:dyDescent="0.25">
      <c r="A248" s="4">
        <v>245</v>
      </c>
      <c r="B248" s="5">
        <v>3612</v>
      </c>
      <c r="C248" s="9" t="s">
        <v>225</v>
      </c>
      <c r="D248" s="6">
        <v>10.85</v>
      </c>
      <c r="E248" s="4"/>
      <c r="F248" s="7"/>
      <c r="G248" s="4">
        <v>4</v>
      </c>
      <c r="H248" s="8">
        <f t="shared" si="12"/>
        <v>10.307499999999999</v>
      </c>
      <c r="I248" s="8">
        <f t="shared" si="10"/>
        <v>0.54250000000000043</v>
      </c>
      <c r="J248" s="7">
        <f t="shared" si="11"/>
        <v>37</v>
      </c>
      <c r="K248" s="6">
        <v>1989</v>
      </c>
      <c r="L248" s="5">
        <v>2026</v>
      </c>
      <c r="M248" s="7" t="s">
        <v>16</v>
      </c>
    </row>
    <row r="249" spans="1:13" ht="12" customHeight="1" x14ac:dyDescent="0.25">
      <c r="A249" s="4">
        <v>246</v>
      </c>
      <c r="B249" s="5">
        <v>3613</v>
      </c>
      <c r="C249" s="6" t="s">
        <v>224</v>
      </c>
      <c r="D249" s="6">
        <v>10.85</v>
      </c>
      <c r="E249" s="4"/>
      <c r="F249" s="7"/>
      <c r="G249" s="4">
        <v>4</v>
      </c>
      <c r="H249" s="8">
        <f t="shared" si="12"/>
        <v>10.307499999999999</v>
      </c>
      <c r="I249" s="8">
        <f t="shared" si="10"/>
        <v>0.54250000000000043</v>
      </c>
      <c r="J249" s="7">
        <f t="shared" si="11"/>
        <v>37</v>
      </c>
      <c r="K249" s="6">
        <v>1989</v>
      </c>
      <c r="L249" s="5">
        <v>2026</v>
      </c>
      <c r="M249" s="7" t="s">
        <v>16</v>
      </c>
    </row>
    <row r="250" spans="1:13" ht="12" customHeight="1" x14ac:dyDescent="0.25">
      <c r="A250" s="4">
        <v>247</v>
      </c>
      <c r="B250" s="5">
        <v>3615</v>
      </c>
      <c r="C250" s="6" t="s">
        <v>227</v>
      </c>
      <c r="D250" s="5">
        <v>29.95</v>
      </c>
      <c r="E250" s="4"/>
      <c r="F250" s="7"/>
      <c r="G250" s="4">
        <v>4</v>
      </c>
      <c r="H250" s="8">
        <f t="shared" si="12"/>
        <v>28.452499999999997</v>
      </c>
      <c r="I250" s="8">
        <f t="shared" si="10"/>
        <v>1.4975000000000023</v>
      </c>
      <c r="J250" s="7">
        <f t="shared" si="11"/>
        <v>38</v>
      </c>
      <c r="K250" s="5">
        <v>1988</v>
      </c>
      <c r="L250" s="5">
        <v>2026</v>
      </c>
      <c r="M250" s="7" t="s">
        <v>16</v>
      </c>
    </row>
    <row r="251" spans="1:13" ht="12" customHeight="1" x14ac:dyDescent="0.25">
      <c r="A251" s="4">
        <v>248</v>
      </c>
      <c r="B251" s="9">
        <v>3616</v>
      </c>
      <c r="C251" s="9" t="s">
        <v>228</v>
      </c>
      <c r="D251" s="9">
        <v>29.95</v>
      </c>
      <c r="E251" s="4"/>
      <c r="F251" s="7"/>
      <c r="G251" s="4">
        <v>4</v>
      </c>
      <c r="H251" s="8">
        <f t="shared" si="12"/>
        <v>28.452499999999997</v>
      </c>
      <c r="I251" s="8">
        <f t="shared" si="10"/>
        <v>1.4975000000000023</v>
      </c>
      <c r="J251" s="7">
        <f t="shared" si="11"/>
        <v>38</v>
      </c>
      <c r="K251" s="9">
        <v>1988</v>
      </c>
      <c r="L251" s="5">
        <v>2026</v>
      </c>
      <c r="M251" s="7" t="s">
        <v>16</v>
      </c>
    </row>
    <row r="252" spans="1:13" ht="12" customHeight="1" x14ac:dyDescent="0.25">
      <c r="A252" s="4">
        <v>249</v>
      </c>
      <c r="B252" s="5">
        <v>3634</v>
      </c>
      <c r="C252" s="6" t="s">
        <v>229</v>
      </c>
      <c r="D252" s="6">
        <v>12</v>
      </c>
      <c r="E252" s="4"/>
      <c r="F252" s="7"/>
      <c r="G252" s="4">
        <v>4</v>
      </c>
      <c r="H252" s="8">
        <f t="shared" si="12"/>
        <v>11.399999999999999</v>
      </c>
      <c r="I252" s="8">
        <f t="shared" si="10"/>
        <v>0.60000000000000142</v>
      </c>
      <c r="J252" s="7">
        <f t="shared" si="11"/>
        <v>38</v>
      </c>
      <c r="K252" s="6">
        <v>1988</v>
      </c>
      <c r="L252" s="5">
        <v>2026</v>
      </c>
      <c r="M252" s="7" t="s">
        <v>16</v>
      </c>
    </row>
    <row r="253" spans="1:13" ht="12" customHeight="1" x14ac:dyDescent="0.25">
      <c r="A253" s="4">
        <v>250</v>
      </c>
      <c r="B253" s="5">
        <v>3651</v>
      </c>
      <c r="C253" s="6" t="s">
        <v>230</v>
      </c>
      <c r="D253" s="5">
        <v>30</v>
      </c>
      <c r="E253" s="4"/>
      <c r="F253" s="7"/>
      <c r="G253" s="4">
        <v>4</v>
      </c>
      <c r="H253" s="8">
        <f t="shared" si="12"/>
        <v>28.5</v>
      </c>
      <c r="I253" s="8">
        <f t="shared" si="10"/>
        <v>1.5</v>
      </c>
      <c r="J253" s="7">
        <f t="shared" si="11"/>
        <v>37</v>
      </c>
      <c r="K253" s="5">
        <v>1989</v>
      </c>
      <c r="L253" s="5">
        <v>2026</v>
      </c>
      <c r="M253" s="7" t="s">
        <v>16</v>
      </c>
    </row>
    <row r="254" spans="1:13" ht="12" customHeight="1" x14ac:dyDescent="0.25">
      <c r="A254" s="4">
        <v>251</v>
      </c>
      <c r="B254" s="9">
        <v>3662</v>
      </c>
      <c r="C254" s="9" t="s">
        <v>41</v>
      </c>
      <c r="D254" s="9">
        <v>19.8</v>
      </c>
      <c r="E254" s="4"/>
      <c r="F254" s="7"/>
      <c r="G254" s="4">
        <v>4</v>
      </c>
      <c r="H254" s="8">
        <f t="shared" si="12"/>
        <v>18.809999999999999</v>
      </c>
      <c r="I254" s="8">
        <f t="shared" si="10"/>
        <v>0.99000000000000199</v>
      </c>
      <c r="J254" s="7">
        <f t="shared" si="11"/>
        <v>37</v>
      </c>
      <c r="K254" s="9">
        <v>1989</v>
      </c>
      <c r="L254" s="5">
        <v>2026</v>
      </c>
      <c r="M254" s="7" t="s">
        <v>16</v>
      </c>
    </row>
    <row r="255" spans="1:13" ht="12" customHeight="1" x14ac:dyDescent="0.25">
      <c r="A255" s="4">
        <v>252</v>
      </c>
      <c r="B255" s="9">
        <v>3663</v>
      </c>
      <c r="C255" s="9" t="s">
        <v>41</v>
      </c>
      <c r="D255" s="9">
        <v>18.8</v>
      </c>
      <c r="E255" s="4"/>
      <c r="F255" s="7"/>
      <c r="G255" s="4">
        <v>4</v>
      </c>
      <c r="H255" s="8">
        <f t="shared" si="12"/>
        <v>17.86</v>
      </c>
      <c r="I255" s="8">
        <f t="shared" si="10"/>
        <v>0.94000000000000128</v>
      </c>
      <c r="J255" s="7">
        <f t="shared" si="11"/>
        <v>37</v>
      </c>
      <c r="K255" s="9">
        <v>1989</v>
      </c>
      <c r="L255" s="5">
        <v>2026</v>
      </c>
      <c r="M255" s="7" t="s">
        <v>16</v>
      </c>
    </row>
    <row r="256" spans="1:13" ht="12" customHeight="1" x14ac:dyDescent="0.25">
      <c r="A256" s="4">
        <v>253</v>
      </c>
      <c r="B256" s="9">
        <v>3667</v>
      </c>
      <c r="C256" s="9" t="s">
        <v>231</v>
      </c>
      <c r="D256" s="9">
        <v>29.8</v>
      </c>
      <c r="E256" s="4"/>
      <c r="F256" s="7"/>
      <c r="G256" s="4">
        <v>4</v>
      </c>
      <c r="H256" s="8">
        <f t="shared" si="12"/>
        <v>28.31</v>
      </c>
      <c r="I256" s="8">
        <f t="shared" si="10"/>
        <v>1.490000000000002</v>
      </c>
      <c r="J256" s="7">
        <f t="shared" si="11"/>
        <v>37</v>
      </c>
      <c r="K256" s="9">
        <v>1989</v>
      </c>
      <c r="L256" s="5">
        <v>2026</v>
      </c>
      <c r="M256" s="7" t="s">
        <v>16</v>
      </c>
    </row>
    <row r="257" spans="1:13" ht="12" customHeight="1" x14ac:dyDescent="0.25">
      <c r="A257" s="4">
        <v>254</v>
      </c>
      <c r="B257" s="9">
        <v>3670</v>
      </c>
      <c r="C257" s="9" t="s">
        <v>232</v>
      </c>
      <c r="D257" s="9">
        <v>19.8</v>
      </c>
      <c r="E257" s="4"/>
      <c r="F257" s="7"/>
      <c r="G257" s="4">
        <v>4</v>
      </c>
      <c r="H257" s="8">
        <f t="shared" si="12"/>
        <v>18.809999999999999</v>
      </c>
      <c r="I257" s="8">
        <f t="shared" si="10"/>
        <v>0.99000000000000199</v>
      </c>
      <c r="J257" s="7">
        <f t="shared" si="11"/>
        <v>37</v>
      </c>
      <c r="K257" s="9">
        <v>1989</v>
      </c>
      <c r="L257" s="5">
        <v>2026</v>
      </c>
      <c r="M257" s="7" t="s">
        <v>16</v>
      </c>
    </row>
    <row r="258" spans="1:13" ht="12" customHeight="1" x14ac:dyDescent="0.25">
      <c r="A258" s="4">
        <v>255</v>
      </c>
      <c r="B258" s="5">
        <v>3672</v>
      </c>
      <c r="C258" s="6" t="s">
        <v>233</v>
      </c>
      <c r="D258" s="6">
        <v>15</v>
      </c>
      <c r="E258" s="4"/>
      <c r="F258" s="7"/>
      <c r="G258" s="4">
        <v>4</v>
      </c>
      <c r="H258" s="8">
        <f t="shared" si="12"/>
        <v>14.25</v>
      </c>
      <c r="I258" s="8">
        <f t="shared" si="10"/>
        <v>0.75</v>
      </c>
      <c r="J258" s="7">
        <f t="shared" si="11"/>
        <v>37</v>
      </c>
      <c r="K258" s="6">
        <v>1989</v>
      </c>
      <c r="L258" s="5">
        <v>2026</v>
      </c>
      <c r="M258" s="7" t="s">
        <v>16</v>
      </c>
    </row>
    <row r="259" spans="1:13" ht="12" customHeight="1" x14ac:dyDescent="0.25">
      <c r="A259" s="4">
        <v>256</v>
      </c>
      <c r="B259" s="5">
        <v>3687</v>
      </c>
      <c r="C259" s="6" t="s">
        <v>234</v>
      </c>
      <c r="D259" s="5">
        <v>12</v>
      </c>
      <c r="E259" s="4"/>
      <c r="F259" s="7"/>
      <c r="G259" s="4">
        <v>4</v>
      </c>
      <c r="H259" s="8">
        <f t="shared" si="12"/>
        <v>11.399999999999999</v>
      </c>
      <c r="I259" s="8">
        <f t="shared" si="10"/>
        <v>0.60000000000000142</v>
      </c>
      <c r="J259" s="7">
        <f t="shared" si="11"/>
        <v>41</v>
      </c>
      <c r="K259" s="5">
        <v>1985</v>
      </c>
      <c r="L259" s="5">
        <v>2026</v>
      </c>
      <c r="M259" s="7" t="s">
        <v>16</v>
      </c>
    </row>
    <row r="260" spans="1:13" ht="12" customHeight="1" x14ac:dyDescent="0.25">
      <c r="A260" s="4">
        <v>257</v>
      </c>
      <c r="B260" s="5">
        <v>3696</v>
      </c>
      <c r="C260" s="6" t="s">
        <v>235</v>
      </c>
      <c r="D260" s="6">
        <v>16.5</v>
      </c>
      <c r="E260" s="4"/>
      <c r="F260" s="7"/>
      <c r="G260" s="4">
        <v>4</v>
      </c>
      <c r="H260" s="8">
        <f t="shared" si="12"/>
        <v>15.674999999999999</v>
      </c>
      <c r="I260" s="8">
        <f t="shared" ref="I260:I323" si="13">(D260-H260)</f>
        <v>0.82500000000000107</v>
      </c>
      <c r="J260" s="7">
        <f t="shared" ref="J260:J323" si="14">(L260-K260)</f>
        <v>37</v>
      </c>
      <c r="K260" s="6">
        <v>1989</v>
      </c>
      <c r="L260" s="5">
        <v>2026</v>
      </c>
      <c r="M260" s="7" t="s">
        <v>16</v>
      </c>
    </row>
    <row r="261" spans="1:13" ht="12" customHeight="1" x14ac:dyDescent="0.25">
      <c r="A261" s="4">
        <v>258</v>
      </c>
      <c r="B261" s="5">
        <v>3699</v>
      </c>
      <c r="C261" s="6" t="s">
        <v>236</v>
      </c>
      <c r="D261" s="5">
        <v>24</v>
      </c>
      <c r="E261" s="4"/>
      <c r="F261" s="7"/>
      <c r="G261" s="4">
        <v>4</v>
      </c>
      <c r="H261" s="8">
        <f t="shared" ref="H261:H324" si="15">D261*0.95</f>
        <v>22.799999999999997</v>
      </c>
      <c r="I261" s="8">
        <f t="shared" si="13"/>
        <v>1.2000000000000028</v>
      </c>
      <c r="J261" s="7">
        <f t="shared" si="14"/>
        <v>37</v>
      </c>
      <c r="K261" s="5">
        <v>1989</v>
      </c>
      <c r="L261" s="5">
        <v>2026</v>
      </c>
      <c r="M261" s="7" t="s">
        <v>16</v>
      </c>
    </row>
    <row r="262" spans="1:13" ht="12" customHeight="1" x14ac:dyDescent="0.25">
      <c r="A262" s="4">
        <v>259</v>
      </c>
      <c r="B262" s="5">
        <v>3813</v>
      </c>
      <c r="C262" s="6" t="s">
        <v>237</v>
      </c>
      <c r="D262" s="6">
        <v>150</v>
      </c>
      <c r="E262" s="4"/>
      <c r="F262" s="7"/>
      <c r="G262" s="4">
        <v>4</v>
      </c>
      <c r="H262" s="8">
        <f t="shared" si="15"/>
        <v>142.5</v>
      </c>
      <c r="I262" s="8">
        <f t="shared" si="13"/>
        <v>7.5</v>
      </c>
      <c r="J262" s="7">
        <f t="shared" si="14"/>
        <v>37</v>
      </c>
      <c r="K262" s="6">
        <v>1989</v>
      </c>
      <c r="L262" s="5">
        <v>2026</v>
      </c>
      <c r="M262" s="7" t="s">
        <v>16</v>
      </c>
    </row>
    <row r="263" spans="1:13" ht="12" customHeight="1" x14ac:dyDescent="0.25">
      <c r="A263" s="4">
        <v>260</v>
      </c>
      <c r="B263" s="5">
        <v>3864</v>
      </c>
      <c r="C263" s="6" t="s">
        <v>238</v>
      </c>
      <c r="D263" s="6">
        <v>17</v>
      </c>
      <c r="E263" s="4"/>
      <c r="F263" s="7"/>
      <c r="G263" s="4">
        <v>4</v>
      </c>
      <c r="H263" s="8">
        <f t="shared" si="15"/>
        <v>16.149999999999999</v>
      </c>
      <c r="I263" s="8">
        <f t="shared" si="13"/>
        <v>0.85000000000000142</v>
      </c>
      <c r="J263" s="7">
        <f t="shared" si="14"/>
        <v>37</v>
      </c>
      <c r="K263" s="6">
        <v>1989</v>
      </c>
      <c r="L263" s="5">
        <v>2026</v>
      </c>
      <c r="M263" s="7" t="s">
        <v>16</v>
      </c>
    </row>
    <row r="264" spans="1:13" ht="12" customHeight="1" x14ac:dyDescent="0.25">
      <c r="A264" s="4">
        <v>261</v>
      </c>
      <c r="B264" s="5">
        <v>3869</v>
      </c>
      <c r="C264" s="6" t="s">
        <v>239</v>
      </c>
      <c r="D264" s="6">
        <v>60.2</v>
      </c>
      <c r="E264" s="4"/>
      <c r="F264" s="7"/>
      <c r="G264" s="4">
        <v>4</v>
      </c>
      <c r="H264" s="8">
        <f t="shared" si="15"/>
        <v>57.19</v>
      </c>
      <c r="I264" s="8">
        <f t="shared" si="13"/>
        <v>3.0100000000000051</v>
      </c>
      <c r="J264" s="7">
        <f t="shared" si="14"/>
        <v>37</v>
      </c>
      <c r="K264" s="6">
        <v>1989</v>
      </c>
      <c r="L264" s="5">
        <v>2026</v>
      </c>
      <c r="M264" s="7" t="s">
        <v>16</v>
      </c>
    </row>
    <row r="265" spans="1:13" ht="12" customHeight="1" x14ac:dyDescent="0.25">
      <c r="A265" s="4">
        <v>262</v>
      </c>
      <c r="B265" s="5">
        <v>3885</v>
      </c>
      <c r="C265" s="6" t="s">
        <v>240</v>
      </c>
      <c r="D265" s="5">
        <v>16.8</v>
      </c>
      <c r="E265" s="4"/>
      <c r="F265" s="7"/>
      <c r="G265" s="4">
        <v>4</v>
      </c>
      <c r="H265" s="8">
        <f t="shared" si="15"/>
        <v>15.959999999999999</v>
      </c>
      <c r="I265" s="8">
        <f t="shared" si="13"/>
        <v>0.84000000000000163</v>
      </c>
      <c r="J265" s="7">
        <f t="shared" si="14"/>
        <v>37</v>
      </c>
      <c r="K265" s="5">
        <v>1989</v>
      </c>
      <c r="L265" s="5">
        <v>2026</v>
      </c>
      <c r="M265" s="7" t="s">
        <v>16</v>
      </c>
    </row>
    <row r="266" spans="1:13" ht="12" customHeight="1" x14ac:dyDescent="0.25">
      <c r="A266" s="4">
        <v>263</v>
      </c>
      <c r="B266" s="9">
        <v>3894</v>
      </c>
      <c r="C266" s="9" t="s">
        <v>241</v>
      </c>
      <c r="D266" s="9">
        <v>2.5</v>
      </c>
      <c r="E266" s="4"/>
      <c r="F266" s="7"/>
      <c r="G266" s="4">
        <v>4</v>
      </c>
      <c r="H266" s="8">
        <f t="shared" si="15"/>
        <v>2.375</v>
      </c>
      <c r="I266" s="8">
        <f t="shared" si="13"/>
        <v>0.125</v>
      </c>
      <c r="J266" s="7">
        <f t="shared" si="14"/>
        <v>36</v>
      </c>
      <c r="K266" s="9">
        <v>1990</v>
      </c>
      <c r="L266" s="5">
        <v>2026</v>
      </c>
      <c r="M266" s="7" t="s">
        <v>16</v>
      </c>
    </row>
    <row r="267" spans="1:13" ht="12" customHeight="1" x14ac:dyDescent="0.25">
      <c r="A267" s="4">
        <v>264</v>
      </c>
      <c r="B267" s="9">
        <v>3896</v>
      </c>
      <c r="C267" s="9" t="s">
        <v>242</v>
      </c>
      <c r="D267" s="9">
        <v>4.5</v>
      </c>
      <c r="E267" s="4"/>
      <c r="F267" s="7"/>
      <c r="G267" s="4">
        <v>4</v>
      </c>
      <c r="H267" s="8">
        <f t="shared" si="15"/>
        <v>4.2749999999999995</v>
      </c>
      <c r="I267" s="8">
        <f t="shared" si="13"/>
        <v>0.22500000000000053</v>
      </c>
      <c r="J267" s="7">
        <f t="shared" si="14"/>
        <v>36</v>
      </c>
      <c r="K267" s="9">
        <v>1990</v>
      </c>
      <c r="L267" s="5">
        <v>2026</v>
      </c>
      <c r="M267" s="7" t="s">
        <v>16</v>
      </c>
    </row>
    <row r="268" spans="1:13" ht="12" customHeight="1" x14ac:dyDescent="0.25">
      <c r="A268" s="4">
        <v>265</v>
      </c>
      <c r="B268" s="5">
        <v>3903</v>
      </c>
      <c r="C268" s="6" t="s">
        <v>243</v>
      </c>
      <c r="D268" s="6">
        <v>10</v>
      </c>
      <c r="E268" s="4"/>
      <c r="F268" s="7"/>
      <c r="G268" s="4">
        <v>4</v>
      </c>
      <c r="H268" s="8">
        <f t="shared" si="15"/>
        <v>9.5</v>
      </c>
      <c r="I268" s="8">
        <f t="shared" si="13"/>
        <v>0.5</v>
      </c>
      <c r="J268" s="7">
        <f t="shared" si="14"/>
        <v>36</v>
      </c>
      <c r="K268" s="6">
        <v>1990</v>
      </c>
      <c r="L268" s="5">
        <v>2026</v>
      </c>
      <c r="M268" s="7" t="s">
        <v>16</v>
      </c>
    </row>
    <row r="269" spans="1:13" ht="12" customHeight="1" x14ac:dyDescent="0.25">
      <c r="A269" s="4">
        <v>266</v>
      </c>
      <c r="B269" s="5">
        <v>3973</v>
      </c>
      <c r="C269" s="6" t="s">
        <v>244</v>
      </c>
      <c r="D269" s="6">
        <v>25</v>
      </c>
      <c r="E269" s="4"/>
      <c r="F269" s="7"/>
      <c r="G269" s="4">
        <v>4</v>
      </c>
      <c r="H269" s="8">
        <f t="shared" si="15"/>
        <v>23.75</v>
      </c>
      <c r="I269" s="8">
        <f t="shared" si="13"/>
        <v>1.25</v>
      </c>
      <c r="J269" s="7">
        <f t="shared" si="14"/>
        <v>36</v>
      </c>
      <c r="K269" s="6">
        <v>1990</v>
      </c>
      <c r="L269" s="5">
        <v>2026</v>
      </c>
      <c r="M269" s="7" t="s">
        <v>16</v>
      </c>
    </row>
    <row r="270" spans="1:13" ht="12" customHeight="1" x14ac:dyDescent="0.25">
      <c r="A270" s="4">
        <v>267</v>
      </c>
      <c r="B270" s="5">
        <v>3984</v>
      </c>
      <c r="C270" s="6" t="s">
        <v>245</v>
      </c>
      <c r="D270" s="5">
        <v>25</v>
      </c>
      <c r="E270" s="4"/>
      <c r="F270" s="7"/>
      <c r="G270" s="4">
        <v>4</v>
      </c>
      <c r="H270" s="8">
        <f t="shared" si="15"/>
        <v>23.75</v>
      </c>
      <c r="I270" s="8">
        <f t="shared" si="13"/>
        <v>1.25</v>
      </c>
      <c r="J270" s="7">
        <f t="shared" si="14"/>
        <v>36</v>
      </c>
      <c r="K270" s="5">
        <v>1990</v>
      </c>
      <c r="L270" s="5">
        <v>2026</v>
      </c>
      <c r="M270" s="7" t="s">
        <v>16</v>
      </c>
    </row>
    <row r="271" spans="1:13" ht="12" customHeight="1" x14ac:dyDescent="0.25">
      <c r="A271" s="4">
        <v>268</v>
      </c>
      <c r="B271" s="5">
        <v>3985</v>
      </c>
      <c r="C271" s="6" t="s">
        <v>246</v>
      </c>
      <c r="D271" s="6">
        <v>17.5</v>
      </c>
      <c r="E271" s="4"/>
      <c r="F271" s="7"/>
      <c r="G271" s="4">
        <v>4</v>
      </c>
      <c r="H271" s="8">
        <f t="shared" si="15"/>
        <v>16.625</v>
      </c>
      <c r="I271" s="8">
        <f t="shared" si="13"/>
        <v>0.875</v>
      </c>
      <c r="J271" s="7">
        <f t="shared" si="14"/>
        <v>36</v>
      </c>
      <c r="K271" s="6">
        <v>1990</v>
      </c>
      <c r="L271" s="5">
        <v>2026</v>
      </c>
      <c r="M271" s="7" t="s">
        <v>16</v>
      </c>
    </row>
    <row r="272" spans="1:13" ht="12" customHeight="1" x14ac:dyDescent="0.25">
      <c r="A272" s="4">
        <v>269</v>
      </c>
      <c r="B272" s="5">
        <v>4037</v>
      </c>
      <c r="C272" s="6" t="s">
        <v>247</v>
      </c>
      <c r="D272" s="5">
        <v>31</v>
      </c>
      <c r="E272" s="4"/>
      <c r="F272" s="7"/>
      <c r="G272" s="4">
        <v>4</v>
      </c>
      <c r="H272" s="8">
        <f t="shared" si="15"/>
        <v>29.45</v>
      </c>
      <c r="I272" s="8">
        <f t="shared" si="13"/>
        <v>1.5500000000000007</v>
      </c>
      <c r="J272" s="7">
        <f t="shared" si="14"/>
        <v>36</v>
      </c>
      <c r="K272" s="5">
        <v>1990</v>
      </c>
      <c r="L272" s="5">
        <v>2026</v>
      </c>
      <c r="M272" s="7" t="s">
        <v>16</v>
      </c>
    </row>
    <row r="273" spans="1:13" ht="12" customHeight="1" x14ac:dyDescent="0.25">
      <c r="A273" s="4">
        <v>270</v>
      </c>
      <c r="B273" s="5">
        <v>4040</v>
      </c>
      <c r="C273" s="6" t="s">
        <v>248</v>
      </c>
      <c r="D273" s="5">
        <v>21</v>
      </c>
      <c r="E273" s="4"/>
      <c r="F273" s="7"/>
      <c r="G273" s="4">
        <v>4</v>
      </c>
      <c r="H273" s="8">
        <f t="shared" si="15"/>
        <v>19.95</v>
      </c>
      <c r="I273" s="8">
        <f t="shared" si="13"/>
        <v>1.0500000000000007</v>
      </c>
      <c r="J273" s="7">
        <f t="shared" si="14"/>
        <v>36</v>
      </c>
      <c r="K273" s="5">
        <v>1990</v>
      </c>
      <c r="L273" s="5">
        <v>2026</v>
      </c>
      <c r="M273" s="7" t="s">
        <v>16</v>
      </c>
    </row>
    <row r="274" spans="1:13" ht="12" customHeight="1" x14ac:dyDescent="0.25">
      <c r="A274" s="4">
        <v>271</v>
      </c>
      <c r="B274" s="5">
        <v>4056</v>
      </c>
      <c r="C274" s="6" t="s">
        <v>249</v>
      </c>
      <c r="D274" s="5">
        <v>12.5</v>
      </c>
      <c r="E274" s="4"/>
      <c r="F274" s="7"/>
      <c r="G274" s="4">
        <v>4</v>
      </c>
      <c r="H274" s="8">
        <f t="shared" si="15"/>
        <v>11.875</v>
      </c>
      <c r="I274" s="8">
        <f t="shared" si="13"/>
        <v>0.625</v>
      </c>
      <c r="J274" s="7">
        <f t="shared" si="14"/>
        <v>36</v>
      </c>
      <c r="K274" s="5">
        <v>1990</v>
      </c>
      <c r="L274" s="5">
        <v>2026</v>
      </c>
      <c r="M274" s="7" t="s">
        <v>16</v>
      </c>
    </row>
    <row r="275" spans="1:13" ht="12" customHeight="1" x14ac:dyDescent="0.25">
      <c r="A275" s="4">
        <v>272</v>
      </c>
      <c r="B275" s="9">
        <v>4090</v>
      </c>
      <c r="C275" s="9" t="s">
        <v>250</v>
      </c>
      <c r="D275" s="9">
        <v>8</v>
      </c>
      <c r="E275" s="4"/>
      <c r="F275" s="7"/>
      <c r="G275" s="4">
        <v>4</v>
      </c>
      <c r="H275" s="8">
        <f t="shared" si="15"/>
        <v>7.6</v>
      </c>
      <c r="I275" s="8">
        <f t="shared" si="13"/>
        <v>0.40000000000000036</v>
      </c>
      <c r="J275" s="7">
        <f t="shared" si="14"/>
        <v>36</v>
      </c>
      <c r="K275" s="9">
        <v>1990</v>
      </c>
      <c r="L275" s="5">
        <v>2026</v>
      </c>
      <c r="M275" s="7" t="s">
        <v>16</v>
      </c>
    </row>
    <row r="276" spans="1:13" ht="12" customHeight="1" x14ac:dyDescent="0.25">
      <c r="A276" s="4">
        <v>273</v>
      </c>
      <c r="B276" s="5">
        <v>4091</v>
      </c>
      <c r="C276" s="6" t="s">
        <v>251</v>
      </c>
      <c r="D276" s="5">
        <v>12</v>
      </c>
      <c r="E276" s="4"/>
      <c r="F276" s="7"/>
      <c r="G276" s="4">
        <v>4</v>
      </c>
      <c r="H276" s="8">
        <f t="shared" si="15"/>
        <v>11.399999999999999</v>
      </c>
      <c r="I276" s="8">
        <f t="shared" si="13"/>
        <v>0.60000000000000142</v>
      </c>
      <c r="J276" s="7">
        <f t="shared" si="14"/>
        <v>36</v>
      </c>
      <c r="K276" s="5">
        <v>1990</v>
      </c>
      <c r="L276" s="5">
        <v>2026</v>
      </c>
      <c r="M276" s="7" t="s">
        <v>16</v>
      </c>
    </row>
    <row r="277" spans="1:13" ht="12" customHeight="1" x14ac:dyDescent="0.25">
      <c r="A277" s="4">
        <v>274</v>
      </c>
      <c r="B277" s="5">
        <v>4094</v>
      </c>
      <c r="C277" s="6" t="s">
        <v>252</v>
      </c>
      <c r="D277" s="6">
        <v>6</v>
      </c>
      <c r="E277" s="4"/>
      <c r="F277" s="7"/>
      <c r="G277" s="4">
        <v>4</v>
      </c>
      <c r="H277" s="8">
        <f t="shared" si="15"/>
        <v>5.6999999999999993</v>
      </c>
      <c r="I277" s="8">
        <f t="shared" si="13"/>
        <v>0.30000000000000071</v>
      </c>
      <c r="J277" s="7">
        <f t="shared" si="14"/>
        <v>36</v>
      </c>
      <c r="K277" s="6">
        <v>1990</v>
      </c>
      <c r="L277" s="5">
        <v>2026</v>
      </c>
      <c r="M277" s="7" t="s">
        <v>16</v>
      </c>
    </row>
    <row r="278" spans="1:13" ht="12" customHeight="1" x14ac:dyDescent="0.25">
      <c r="A278" s="4">
        <v>275</v>
      </c>
      <c r="B278" s="9">
        <v>4095</v>
      </c>
      <c r="C278" s="9" t="s">
        <v>253</v>
      </c>
      <c r="D278" s="9">
        <v>7</v>
      </c>
      <c r="E278" s="4"/>
      <c r="F278" s="7"/>
      <c r="G278" s="4">
        <v>4</v>
      </c>
      <c r="H278" s="8">
        <f t="shared" si="15"/>
        <v>6.6499999999999995</v>
      </c>
      <c r="I278" s="8">
        <f t="shared" si="13"/>
        <v>0.35000000000000053</v>
      </c>
      <c r="J278" s="7">
        <f t="shared" si="14"/>
        <v>36</v>
      </c>
      <c r="K278" s="9">
        <v>1990</v>
      </c>
      <c r="L278" s="5">
        <v>2026</v>
      </c>
      <c r="M278" s="7" t="s">
        <v>16</v>
      </c>
    </row>
    <row r="279" spans="1:13" ht="12" customHeight="1" x14ac:dyDescent="0.25">
      <c r="A279" s="4">
        <v>276</v>
      </c>
      <c r="B279" s="9">
        <v>4098</v>
      </c>
      <c r="C279" s="9" t="s">
        <v>254</v>
      </c>
      <c r="D279" s="9">
        <v>5</v>
      </c>
      <c r="E279" s="4"/>
      <c r="F279" s="7"/>
      <c r="G279" s="4">
        <v>4</v>
      </c>
      <c r="H279" s="8">
        <f t="shared" si="15"/>
        <v>4.75</v>
      </c>
      <c r="I279" s="8">
        <f t="shared" si="13"/>
        <v>0.25</v>
      </c>
      <c r="J279" s="7">
        <f t="shared" si="14"/>
        <v>36</v>
      </c>
      <c r="K279" s="9">
        <v>1990</v>
      </c>
      <c r="L279" s="5">
        <v>2026</v>
      </c>
      <c r="M279" s="7" t="s">
        <v>16</v>
      </c>
    </row>
    <row r="280" spans="1:13" ht="12" customHeight="1" x14ac:dyDescent="0.25">
      <c r="A280" s="4">
        <v>277</v>
      </c>
      <c r="B280" s="9">
        <v>4100</v>
      </c>
      <c r="C280" s="9" t="s">
        <v>255</v>
      </c>
      <c r="D280" s="9">
        <v>6</v>
      </c>
      <c r="E280" s="4"/>
      <c r="F280" s="7"/>
      <c r="G280" s="4">
        <v>4</v>
      </c>
      <c r="H280" s="8">
        <f t="shared" si="15"/>
        <v>5.6999999999999993</v>
      </c>
      <c r="I280" s="8">
        <f t="shared" si="13"/>
        <v>0.30000000000000071</v>
      </c>
      <c r="J280" s="7">
        <f t="shared" si="14"/>
        <v>36</v>
      </c>
      <c r="K280" s="9">
        <v>1990</v>
      </c>
      <c r="L280" s="5">
        <v>2026</v>
      </c>
      <c r="M280" s="7" t="s">
        <v>16</v>
      </c>
    </row>
    <row r="281" spans="1:13" ht="12" customHeight="1" x14ac:dyDescent="0.25">
      <c r="A281" s="4">
        <v>278</v>
      </c>
      <c r="B281" s="5">
        <v>4102</v>
      </c>
      <c r="C281" s="6" t="s">
        <v>256</v>
      </c>
      <c r="D281" s="6">
        <v>10</v>
      </c>
      <c r="E281" s="4"/>
      <c r="F281" s="7"/>
      <c r="G281" s="4">
        <v>4</v>
      </c>
      <c r="H281" s="8">
        <f t="shared" si="15"/>
        <v>9.5</v>
      </c>
      <c r="I281" s="8">
        <f t="shared" si="13"/>
        <v>0.5</v>
      </c>
      <c r="J281" s="7">
        <f t="shared" si="14"/>
        <v>36</v>
      </c>
      <c r="K281" s="6">
        <v>1990</v>
      </c>
      <c r="L281" s="5">
        <v>2026</v>
      </c>
      <c r="M281" s="7" t="s">
        <v>16</v>
      </c>
    </row>
    <row r="282" spans="1:13" ht="12" customHeight="1" x14ac:dyDescent="0.25">
      <c r="A282" s="4">
        <v>279</v>
      </c>
      <c r="B282" s="9">
        <v>4110</v>
      </c>
      <c r="C282" s="9" t="s">
        <v>257</v>
      </c>
      <c r="D282" s="9">
        <v>7</v>
      </c>
      <c r="E282" s="4"/>
      <c r="F282" s="7"/>
      <c r="G282" s="4">
        <v>4</v>
      </c>
      <c r="H282" s="8">
        <f t="shared" si="15"/>
        <v>6.6499999999999995</v>
      </c>
      <c r="I282" s="8">
        <f t="shared" si="13"/>
        <v>0.35000000000000053</v>
      </c>
      <c r="J282" s="7">
        <f t="shared" si="14"/>
        <v>36</v>
      </c>
      <c r="K282" s="9">
        <v>1990</v>
      </c>
      <c r="L282" s="5">
        <v>2026</v>
      </c>
      <c r="M282" s="7" t="s">
        <v>16</v>
      </c>
    </row>
    <row r="283" spans="1:13" ht="12" customHeight="1" x14ac:dyDescent="0.25">
      <c r="A283" s="4">
        <v>280</v>
      </c>
      <c r="B283" s="5">
        <v>4111</v>
      </c>
      <c r="C283" s="6" t="s">
        <v>258</v>
      </c>
      <c r="D283" s="5">
        <v>8</v>
      </c>
      <c r="E283" s="4"/>
      <c r="F283" s="7"/>
      <c r="G283" s="4">
        <v>4</v>
      </c>
      <c r="H283" s="8">
        <f t="shared" si="15"/>
        <v>7.6</v>
      </c>
      <c r="I283" s="8">
        <f t="shared" si="13"/>
        <v>0.40000000000000036</v>
      </c>
      <c r="J283" s="7">
        <f t="shared" si="14"/>
        <v>36</v>
      </c>
      <c r="K283" s="6">
        <v>1990</v>
      </c>
      <c r="L283" s="5">
        <v>2026</v>
      </c>
      <c r="M283" s="7" t="s">
        <v>16</v>
      </c>
    </row>
    <row r="284" spans="1:13" ht="12" customHeight="1" x14ac:dyDescent="0.25">
      <c r="A284" s="4">
        <v>281</v>
      </c>
      <c r="B284" s="6">
        <v>4114</v>
      </c>
      <c r="C284" s="6" t="s">
        <v>259</v>
      </c>
      <c r="D284" s="6">
        <v>8</v>
      </c>
      <c r="E284" s="4"/>
      <c r="F284" s="7"/>
      <c r="G284" s="4">
        <v>4</v>
      </c>
      <c r="H284" s="8">
        <f t="shared" si="15"/>
        <v>7.6</v>
      </c>
      <c r="I284" s="8">
        <f t="shared" si="13"/>
        <v>0.40000000000000036</v>
      </c>
      <c r="J284" s="7">
        <f t="shared" si="14"/>
        <v>36</v>
      </c>
      <c r="K284" s="6">
        <v>1990</v>
      </c>
      <c r="L284" s="5">
        <v>2026</v>
      </c>
      <c r="M284" s="7" t="s">
        <v>16</v>
      </c>
    </row>
    <row r="285" spans="1:13" ht="12" customHeight="1" x14ac:dyDescent="0.25">
      <c r="A285" s="4">
        <v>282</v>
      </c>
      <c r="B285" s="5">
        <v>4115</v>
      </c>
      <c r="C285" s="6" t="s">
        <v>260</v>
      </c>
      <c r="D285" s="5">
        <v>8</v>
      </c>
      <c r="E285" s="4"/>
      <c r="F285" s="7"/>
      <c r="G285" s="4">
        <v>4</v>
      </c>
      <c r="H285" s="8">
        <f t="shared" si="15"/>
        <v>7.6</v>
      </c>
      <c r="I285" s="8">
        <f t="shared" si="13"/>
        <v>0.40000000000000036</v>
      </c>
      <c r="J285" s="7">
        <f t="shared" si="14"/>
        <v>36</v>
      </c>
      <c r="K285" s="6">
        <v>1990</v>
      </c>
      <c r="L285" s="5">
        <v>2026</v>
      </c>
      <c r="M285" s="7" t="s">
        <v>16</v>
      </c>
    </row>
    <row r="286" spans="1:13" ht="12" customHeight="1" x14ac:dyDescent="0.25">
      <c r="A286" s="4">
        <v>283</v>
      </c>
      <c r="B286" s="5">
        <v>4127</v>
      </c>
      <c r="C286" s="6" t="s">
        <v>261</v>
      </c>
      <c r="D286" s="6">
        <v>8</v>
      </c>
      <c r="E286" s="4"/>
      <c r="F286" s="7"/>
      <c r="G286" s="4">
        <v>4</v>
      </c>
      <c r="H286" s="8">
        <f t="shared" si="15"/>
        <v>7.6</v>
      </c>
      <c r="I286" s="8">
        <f t="shared" si="13"/>
        <v>0.40000000000000036</v>
      </c>
      <c r="J286" s="7">
        <f t="shared" si="14"/>
        <v>36</v>
      </c>
      <c r="K286" s="6">
        <v>1990</v>
      </c>
      <c r="L286" s="5">
        <v>2026</v>
      </c>
      <c r="M286" s="7" t="s">
        <v>16</v>
      </c>
    </row>
    <row r="287" spans="1:13" ht="12" customHeight="1" x14ac:dyDescent="0.25">
      <c r="A287" s="4">
        <v>284</v>
      </c>
      <c r="B287" s="5">
        <v>4130</v>
      </c>
      <c r="C287" s="6" t="s">
        <v>262</v>
      </c>
      <c r="D287" s="6">
        <v>8</v>
      </c>
      <c r="E287" s="4"/>
      <c r="F287" s="7"/>
      <c r="G287" s="4">
        <v>4</v>
      </c>
      <c r="H287" s="8">
        <f t="shared" si="15"/>
        <v>7.6</v>
      </c>
      <c r="I287" s="8">
        <f t="shared" si="13"/>
        <v>0.40000000000000036</v>
      </c>
      <c r="J287" s="7">
        <f t="shared" si="14"/>
        <v>36</v>
      </c>
      <c r="K287" s="6">
        <v>1990</v>
      </c>
      <c r="L287" s="5">
        <v>2026</v>
      </c>
      <c r="M287" s="7" t="s">
        <v>16</v>
      </c>
    </row>
    <row r="288" spans="1:13" ht="12" customHeight="1" x14ac:dyDescent="0.25">
      <c r="A288" s="4">
        <v>285</v>
      </c>
      <c r="B288" s="5">
        <v>4132</v>
      </c>
      <c r="C288" s="6" t="s">
        <v>263</v>
      </c>
      <c r="D288" s="5">
        <v>10</v>
      </c>
      <c r="E288" s="4"/>
      <c r="F288" s="7"/>
      <c r="G288" s="4">
        <v>4</v>
      </c>
      <c r="H288" s="8">
        <f t="shared" si="15"/>
        <v>9.5</v>
      </c>
      <c r="I288" s="8">
        <f t="shared" si="13"/>
        <v>0.5</v>
      </c>
      <c r="J288" s="7">
        <f t="shared" si="14"/>
        <v>36</v>
      </c>
      <c r="K288" s="5">
        <v>1990</v>
      </c>
      <c r="L288" s="5">
        <v>2026</v>
      </c>
      <c r="M288" s="7" t="s">
        <v>16</v>
      </c>
    </row>
    <row r="289" spans="1:13" ht="12" customHeight="1" x14ac:dyDescent="0.25">
      <c r="A289" s="4">
        <v>286</v>
      </c>
      <c r="B289" s="9">
        <v>4133</v>
      </c>
      <c r="C289" s="9" t="s">
        <v>264</v>
      </c>
      <c r="D289" s="9">
        <v>10</v>
      </c>
      <c r="E289" s="4"/>
      <c r="F289" s="7"/>
      <c r="G289" s="4">
        <v>4</v>
      </c>
      <c r="H289" s="8">
        <f t="shared" si="15"/>
        <v>9.5</v>
      </c>
      <c r="I289" s="8">
        <f t="shared" si="13"/>
        <v>0.5</v>
      </c>
      <c r="J289" s="7">
        <f t="shared" si="14"/>
        <v>36</v>
      </c>
      <c r="K289" s="9">
        <v>1990</v>
      </c>
      <c r="L289" s="5">
        <v>2026</v>
      </c>
      <c r="M289" s="7" t="s">
        <v>16</v>
      </c>
    </row>
    <row r="290" spans="1:13" ht="12" customHeight="1" x14ac:dyDescent="0.25">
      <c r="A290" s="4">
        <v>287</v>
      </c>
      <c r="B290" s="5">
        <v>4135</v>
      </c>
      <c r="C290" s="6" t="s">
        <v>265</v>
      </c>
      <c r="D290" s="6">
        <v>10</v>
      </c>
      <c r="E290" s="4"/>
      <c r="F290" s="7"/>
      <c r="G290" s="4">
        <v>4</v>
      </c>
      <c r="H290" s="8">
        <f t="shared" si="15"/>
        <v>9.5</v>
      </c>
      <c r="I290" s="8">
        <f t="shared" si="13"/>
        <v>0.5</v>
      </c>
      <c r="J290" s="7">
        <f t="shared" si="14"/>
        <v>36</v>
      </c>
      <c r="K290" s="6">
        <v>1990</v>
      </c>
      <c r="L290" s="5">
        <v>2026</v>
      </c>
      <c r="M290" s="7" t="s">
        <v>16</v>
      </c>
    </row>
    <row r="291" spans="1:13" ht="12" customHeight="1" x14ac:dyDescent="0.25">
      <c r="A291" s="4">
        <v>288</v>
      </c>
      <c r="B291" s="9">
        <v>4137</v>
      </c>
      <c r="C291" s="9" t="s">
        <v>266</v>
      </c>
      <c r="D291" s="9">
        <v>10</v>
      </c>
      <c r="E291" s="4"/>
      <c r="F291" s="7"/>
      <c r="G291" s="4">
        <v>4</v>
      </c>
      <c r="H291" s="8">
        <f t="shared" si="15"/>
        <v>9.5</v>
      </c>
      <c r="I291" s="8">
        <f t="shared" si="13"/>
        <v>0.5</v>
      </c>
      <c r="J291" s="7">
        <f t="shared" si="14"/>
        <v>36</v>
      </c>
      <c r="K291" s="9">
        <v>1990</v>
      </c>
      <c r="L291" s="5">
        <v>2026</v>
      </c>
      <c r="M291" s="7" t="s">
        <v>16</v>
      </c>
    </row>
    <row r="292" spans="1:13" ht="12" customHeight="1" x14ac:dyDescent="0.25">
      <c r="A292" s="4">
        <v>289</v>
      </c>
      <c r="B292" s="9">
        <v>4142</v>
      </c>
      <c r="C292" s="9" t="s">
        <v>267</v>
      </c>
      <c r="D292" s="9">
        <v>10</v>
      </c>
      <c r="E292" s="4"/>
      <c r="F292" s="7"/>
      <c r="G292" s="4">
        <v>4</v>
      </c>
      <c r="H292" s="8">
        <f t="shared" si="15"/>
        <v>9.5</v>
      </c>
      <c r="I292" s="8">
        <f t="shared" si="13"/>
        <v>0.5</v>
      </c>
      <c r="J292" s="7">
        <f t="shared" si="14"/>
        <v>36</v>
      </c>
      <c r="K292" s="9">
        <v>1990</v>
      </c>
      <c r="L292" s="5">
        <v>2026</v>
      </c>
      <c r="M292" s="7" t="s">
        <v>16</v>
      </c>
    </row>
    <row r="293" spans="1:13" ht="12" customHeight="1" x14ac:dyDescent="0.25">
      <c r="A293" s="4">
        <v>290</v>
      </c>
      <c r="B293" s="9">
        <v>4145</v>
      </c>
      <c r="C293" s="9" t="s">
        <v>268</v>
      </c>
      <c r="D293" s="9">
        <v>10</v>
      </c>
      <c r="E293" s="4"/>
      <c r="F293" s="7"/>
      <c r="G293" s="4">
        <v>4</v>
      </c>
      <c r="H293" s="8">
        <f t="shared" si="15"/>
        <v>9.5</v>
      </c>
      <c r="I293" s="8">
        <f t="shared" si="13"/>
        <v>0.5</v>
      </c>
      <c r="J293" s="7">
        <f t="shared" si="14"/>
        <v>36</v>
      </c>
      <c r="K293" s="9">
        <v>1990</v>
      </c>
      <c r="L293" s="5">
        <v>2026</v>
      </c>
      <c r="M293" s="7" t="s">
        <v>16</v>
      </c>
    </row>
    <row r="294" spans="1:13" ht="12" customHeight="1" x14ac:dyDescent="0.25">
      <c r="A294" s="4">
        <v>291</v>
      </c>
      <c r="B294" s="5">
        <v>4147</v>
      </c>
      <c r="C294" s="6" t="s">
        <v>269</v>
      </c>
      <c r="D294" s="6">
        <v>16</v>
      </c>
      <c r="E294" s="4"/>
      <c r="F294" s="7"/>
      <c r="G294" s="4">
        <v>4</v>
      </c>
      <c r="H294" s="8">
        <f t="shared" si="15"/>
        <v>15.2</v>
      </c>
      <c r="I294" s="8">
        <f t="shared" si="13"/>
        <v>0.80000000000000071</v>
      </c>
      <c r="J294" s="7">
        <f t="shared" si="14"/>
        <v>36</v>
      </c>
      <c r="K294" s="6">
        <v>1990</v>
      </c>
      <c r="L294" s="5">
        <v>2026</v>
      </c>
      <c r="M294" s="7" t="s">
        <v>16</v>
      </c>
    </row>
    <row r="295" spans="1:13" ht="12" customHeight="1" x14ac:dyDescent="0.25">
      <c r="A295" s="4">
        <v>292</v>
      </c>
      <c r="B295" s="5">
        <v>4148</v>
      </c>
      <c r="C295" s="6" t="s">
        <v>270</v>
      </c>
      <c r="D295" s="6">
        <v>16</v>
      </c>
      <c r="E295" s="4"/>
      <c r="F295" s="7"/>
      <c r="G295" s="4">
        <v>4</v>
      </c>
      <c r="H295" s="8">
        <f t="shared" si="15"/>
        <v>15.2</v>
      </c>
      <c r="I295" s="8">
        <f t="shared" si="13"/>
        <v>0.80000000000000071</v>
      </c>
      <c r="J295" s="7">
        <f t="shared" si="14"/>
        <v>36</v>
      </c>
      <c r="K295" s="6">
        <v>1990</v>
      </c>
      <c r="L295" s="5">
        <v>2026</v>
      </c>
      <c r="M295" s="7" t="s">
        <v>16</v>
      </c>
    </row>
    <row r="296" spans="1:13" ht="12" customHeight="1" x14ac:dyDescent="0.25">
      <c r="A296" s="4">
        <v>293</v>
      </c>
      <c r="B296" s="5">
        <v>4149</v>
      </c>
      <c r="C296" s="6" t="s">
        <v>271</v>
      </c>
      <c r="D296" s="6">
        <v>16</v>
      </c>
      <c r="E296" s="4"/>
      <c r="F296" s="7"/>
      <c r="G296" s="4">
        <v>4</v>
      </c>
      <c r="H296" s="8">
        <f t="shared" si="15"/>
        <v>15.2</v>
      </c>
      <c r="I296" s="8">
        <f t="shared" si="13"/>
        <v>0.80000000000000071</v>
      </c>
      <c r="J296" s="7">
        <f t="shared" si="14"/>
        <v>36</v>
      </c>
      <c r="K296" s="6">
        <v>1990</v>
      </c>
      <c r="L296" s="5">
        <v>2026</v>
      </c>
      <c r="M296" s="7" t="s">
        <v>16</v>
      </c>
    </row>
    <row r="297" spans="1:13" ht="12" customHeight="1" x14ac:dyDescent="0.25">
      <c r="A297" s="4">
        <v>294</v>
      </c>
      <c r="B297" s="5">
        <v>4150</v>
      </c>
      <c r="C297" s="6" t="s">
        <v>272</v>
      </c>
      <c r="D297" s="6">
        <v>16</v>
      </c>
      <c r="E297" s="4"/>
      <c r="F297" s="7"/>
      <c r="G297" s="4">
        <v>4</v>
      </c>
      <c r="H297" s="8">
        <f t="shared" si="15"/>
        <v>15.2</v>
      </c>
      <c r="I297" s="8">
        <f t="shared" si="13"/>
        <v>0.80000000000000071</v>
      </c>
      <c r="J297" s="7">
        <f t="shared" si="14"/>
        <v>36</v>
      </c>
      <c r="K297" s="6">
        <v>1990</v>
      </c>
      <c r="L297" s="5">
        <v>2026</v>
      </c>
      <c r="M297" s="7" t="s">
        <v>16</v>
      </c>
    </row>
    <row r="298" spans="1:13" ht="12" customHeight="1" x14ac:dyDescent="0.25">
      <c r="A298" s="4">
        <v>295</v>
      </c>
      <c r="B298" s="5">
        <v>4153</v>
      </c>
      <c r="C298" s="6" t="s">
        <v>273</v>
      </c>
      <c r="D298" s="5">
        <v>4</v>
      </c>
      <c r="E298" s="4"/>
      <c r="F298" s="7"/>
      <c r="G298" s="4">
        <v>4</v>
      </c>
      <c r="H298" s="8">
        <f t="shared" si="15"/>
        <v>3.8</v>
      </c>
      <c r="I298" s="8">
        <f t="shared" si="13"/>
        <v>0.20000000000000018</v>
      </c>
      <c r="J298" s="7">
        <f t="shared" si="14"/>
        <v>36</v>
      </c>
      <c r="K298" s="5">
        <v>1990</v>
      </c>
      <c r="L298" s="5">
        <v>2026</v>
      </c>
      <c r="M298" s="7" t="s">
        <v>16</v>
      </c>
    </row>
    <row r="299" spans="1:13" ht="12" customHeight="1" x14ac:dyDescent="0.25">
      <c r="A299" s="4">
        <v>296</v>
      </c>
      <c r="B299" s="5">
        <v>4157</v>
      </c>
      <c r="C299" s="6" t="s">
        <v>274</v>
      </c>
      <c r="D299" s="5">
        <v>600</v>
      </c>
      <c r="E299" s="4"/>
      <c r="F299" s="7"/>
      <c r="G299" s="4">
        <v>4</v>
      </c>
      <c r="H299" s="8">
        <f t="shared" si="15"/>
        <v>570</v>
      </c>
      <c r="I299" s="8">
        <f t="shared" si="13"/>
        <v>30</v>
      </c>
      <c r="J299" s="7">
        <f t="shared" si="14"/>
        <v>36</v>
      </c>
      <c r="K299" s="5">
        <v>1990</v>
      </c>
      <c r="L299" s="5">
        <v>2026</v>
      </c>
      <c r="M299" s="7" t="s">
        <v>16</v>
      </c>
    </row>
    <row r="300" spans="1:13" ht="12" customHeight="1" x14ac:dyDescent="0.25">
      <c r="A300" s="4">
        <v>297</v>
      </c>
      <c r="B300" s="5">
        <v>4159</v>
      </c>
      <c r="C300" s="6" t="s">
        <v>275</v>
      </c>
      <c r="D300" s="6">
        <v>8</v>
      </c>
      <c r="E300" s="4"/>
      <c r="F300" s="7"/>
      <c r="G300" s="4">
        <v>4</v>
      </c>
      <c r="H300" s="8">
        <f t="shared" si="15"/>
        <v>7.6</v>
      </c>
      <c r="I300" s="8">
        <f t="shared" si="13"/>
        <v>0.40000000000000036</v>
      </c>
      <c r="J300" s="7">
        <f t="shared" si="14"/>
        <v>42</v>
      </c>
      <c r="K300" s="6">
        <v>1984</v>
      </c>
      <c r="L300" s="5">
        <v>2026</v>
      </c>
      <c r="M300" s="7" t="s">
        <v>16</v>
      </c>
    </row>
    <row r="301" spans="1:13" ht="12" customHeight="1" x14ac:dyDescent="0.25">
      <c r="A301" s="4">
        <v>298</v>
      </c>
      <c r="B301" s="5">
        <v>4161</v>
      </c>
      <c r="C301" s="6" t="s">
        <v>276</v>
      </c>
      <c r="D301" s="6">
        <v>8</v>
      </c>
      <c r="E301" s="4"/>
      <c r="F301" s="7"/>
      <c r="G301" s="4">
        <v>4</v>
      </c>
      <c r="H301" s="8">
        <f t="shared" si="15"/>
        <v>7.6</v>
      </c>
      <c r="I301" s="8">
        <f t="shared" si="13"/>
        <v>0.40000000000000036</v>
      </c>
      <c r="J301" s="7">
        <f t="shared" si="14"/>
        <v>36</v>
      </c>
      <c r="K301" s="6">
        <v>1990</v>
      </c>
      <c r="L301" s="5">
        <v>2026</v>
      </c>
      <c r="M301" s="7" t="s">
        <v>16</v>
      </c>
    </row>
    <row r="302" spans="1:13" ht="12" customHeight="1" x14ac:dyDescent="0.25">
      <c r="A302" s="4">
        <v>299</v>
      </c>
      <c r="B302" s="5">
        <v>4162</v>
      </c>
      <c r="C302" s="6" t="s">
        <v>277</v>
      </c>
      <c r="D302" s="5">
        <v>81</v>
      </c>
      <c r="E302" s="4"/>
      <c r="F302" s="7"/>
      <c r="G302" s="4">
        <v>4</v>
      </c>
      <c r="H302" s="8">
        <f t="shared" si="15"/>
        <v>76.95</v>
      </c>
      <c r="I302" s="8">
        <f t="shared" si="13"/>
        <v>4.0499999999999972</v>
      </c>
      <c r="J302" s="7">
        <f t="shared" si="14"/>
        <v>36</v>
      </c>
      <c r="K302" s="5">
        <v>1990</v>
      </c>
      <c r="L302" s="5">
        <v>2026</v>
      </c>
      <c r="M302" s="7" t="s">
        <v>16</v>
      </c>
    </row>
    <row r="303" spans="1:13" ht="12" customHeight="1" x14ac:dyDescent="0.25">
      <c r="A303" s="4">
        <v>300</v>
      </c>
      <c r="B303" s="5">
        <v>4169</v>
      </c>
      <c r="C303" s="6" t="s">
        <v>278</v>
      </c>
      <c r="D303" s="6">
        <v>16</v>
      </c>
      <c r="E303" s="4"/>
      <c r="F303" s="7"/>
      <c r="G303" s="4">
        <v>4</v>
      </c>
      <c r="H303" s="8">
        <f t="shared" si="15"/>
        <v>15.2</v>
      </c>
      <c r="I303" s="8">
        <f t="shared" si="13"/>
        <v>0.80000000000000071</v>
      </c>
      <c r="J303" s="7">
        <f t="shared" si="14"/>
        <v>36</v>
      </c>
      <c r="K303" s="6">
        <v>1990</v>
      </c>
      <c r="L303" s="5">
        <v>2026</v>
      </c>
      <c r="M303" s="7" t="s">
        <v>16</v>
      </c>
    </row>
    <row r="304" spans="1:13" ht="12" customHeight="1" x14ac:dyDescent="0.25">
      <c r="A304" s="4">
        <v>301</v>
      </c>
      <c r="B304" s="5">
        <v>4170</v>
      </c>
      <c r="C304" s="6" t="s">
        <v>279</v>
      </c>
      <c r="D304" s="5">
        <v>16</v>
      </c>
      <c r="E304" s="4"/>
      <c r="F304" s="7"/>
      <c r="G304" s="4">
        <v>4</v>
      </c>
      <c r="H304" s="8">
        <f t="shared" si="15"/>
        <v>15.2</v>
      </c>
      <c r="I304" s="8">
        <f t="shared" si="13"/>
        <v>0.80000000000000071</v>
      </c>
      <c r="J304" s="7">
        <f t="shared" si="14"/>
        <v>36</v>
      </c>
      <c r="K304" s="5">
        <v>1990</v>
      </c>
      <c r="L304" s="5">
        <v>2026</v>
      </c>
      <c r="M304" s="7" t="s">
        <v>16</v>
      </c>
    </row>
    <row r="305" spans="1:13" ht="12" customHeight="1" x14ac:dyDescent="0.25">
      <c r="A305" s="4">
        <v>302</v>
      </c>
      <c r="B305" s="5">
        <v>4172</v>
      </c>
      <c r="C305" s="6" t="s">
        <v>280</v>
      </c>
      <c r="D305" s="5">
        <v>16</v>
      </c>
      <c r="E305" s="4"/>
      <c r="F305" s="7"/>
      <c r="G305" s="4">
        <v>4</v>
      </c>
      <c r="H305" s="8">
        <f t="shared" si="15"/>
        <v>15.2</v>
      </c>
      <c r="I305" s="8">
        <f t="shared" si="13"/>
        <v>0.80000000000000071</v>
      </c>
      <c r="J305" s="7">
        <f t="shared" si="14"/>
        <v>36</v>
      </c>
      <c r="K305" s="5">
        <v>1990</v>
      </c>
      <c r="L305" s="5">
        <v>2026</v>
      </c>
      <c r="M305" s="7" t="s">
        <v>16</v>
      </c>
    </row>
    <row r="306" spans="1:13" ht="12" customHeight="1" x14ac:dyDescent="0.25">
      <c r="A306" s="4">
        <v>303</v>
      </c>
      <c r="B306" s="5">
        <v>4173</v>
      </c>
      <c r="C306" s="6" t="s">
        <v>281</v>
      </c>
      <c r="D306" s="5">
        <v>16</v>
      </c>
      <c r="E306" s="4"/>
      <c r="F306" s="7"/>
      <c r="G306" s="4">
        <v>4</v>
      </c>
      <c r="H306" s="8">
        <f t="shared" si="15"/>
        <v>15.2</v>
      </c>
      <c r="I306" s="8">
        <f t="shared" si="13"/>
        <v>0.80000000000000071</v>
      </c>
      <c r="J306" s="7">
        <f t="shared" si="14"/>
        <v>36</v>
      </c>
      <c r="K306" s="5">
        <v>1990</v>
      </c>
      <c r="L306" s="5">
        <v>2026</v>
      </c>
      <c r="M306" s="7" t="s">
        <v>16</v>
      </c>
    </row>
    <row r="307" spans="1:13" ht="12" customHeight="1" x14ac:dyDescent="0.25">
      <c r="A307" s="4">
        <v>304</v>
      </c>
      <c r="B307" s="9">
        <v>4177</v>
      </c>
      <c r="C307" s="9" t="s">
        <v>282</v>
      </c>
      <c r="D307" s="9">
        <v>6</v>
      </c>
      <c r="E307" s="4"/>
      <c r="F307" s="7"/>
      <c r="G307" s="4">
        <v>4</v>
      </c>
      <c r="H307" s="8">
        <f t="shared" si="15"/>
        <v>5.6999999999999993</v>
      </c>
      <c r="I307" s="8">
        <f t="shared" si="13"/>
        <v>0.30000000000000071</v>
      </c>
      <c r="J307" s="7">
        <f t="shared" si="14"/>
        <v>36</v>
      </c>
      <c r="K307" s="9">
        <v>1990</v>
      </c>
      <c r="L307" s="5">
        <v>2026</v>
      </c>
      <c r="M307" s="7" t="s">
        <v>16</v>
      </c>
    </row>
    <row r="308" spans="1:13" ht="12" customHeight="1" x14ac:dyDescent="0.25">
      <c r="A308" s="4">
        <v>305</v>
      </c>
      <c r="B308" s="5">
        <v>4179</v>
      </c>
      <c r="C308" s="6" t="s">
        <v>283</v>
      </c>
      <c r="D308" s="6">
        <v>7</v>
      </c>
      <c r="E308" s="4"/>
      <c r="F308" s="7"/>
      <c r="G308" s="4">
        <v>4</v>
      </c>
      <c r="H308" s="8">
        <f t="shared" si="15"/>
        <v>6.6499999999999995</v>
      </c>
      <c r="I308" s="8">
        <f t="shared" si="13"/>
        <v>0.35000000000000053</v>
      </c>
      <c r="J308" s="7">
        <f t="shared" si="14"/>
        <v>36</v>
      </c>
      <c r="K308" s="6">
        <v>1990</v>
      </c>
      <c r="L308" s="5">
        <v>2026</v>
      </c>
      <c r="M308" s="7" t="s">
        <v>16</v>
      </c>
    </row>
    <row r="309" spans="1:13" ht="12" customHeight="1" x14ac:dyDescent="0.25">
      <c r="A309" s="4">
        <v>306</v>
      </c>
      <c r="B309" s="5">
        <v>4189</v>
      </c>
      <c r="C309" s="6" t="s">
        <v>284</v>
      </c>
      <c r="D309" s="5">
        <v>65</v>
      </c>
      <c r="E309" s="4"/>
      <c r="F309" s="7"/>
      <c r="G309" s="4">
        <v>4</v>
      </c>
      <c r="H309" s="8">
        <f t="shared" si="15"/>
        <v>61.75</v>
      </c>
      <c r="I309" s="8">
        <f t="shared" si="13"/>
        <v>3.25</v>
      </c>
      <c r="J309" s="7">
        <f t="shared" si="14"/>
        <v>36</v>
      </c>
      <c r="K309" s="5">
        <v>1990</v>
      </c>
      <c r="L309" s="5">
        <v>2026</v>
      </c>
      <c r="M309" s="7" t="s">
        <v>16</v>
      </c>
    </row>
    <row r="310" spans="1:13" ht="12" customHeight="1" x14ac:dyDescent="0.25">
      <c r="A310" s="4">
        <v>307</v>
      </c>
      <c r="B310" s="9">
        <v>4191</v>
      </c>
      <c r="C310" s="9" t="s">
        <v>285</v>
      </c>
      <c r="D310" s="9">
        <v>16</v>
      </c>
      <c r="E310" s="4"/>
      <c r="F310" s="7"/>
      <c r="G310" s="4">
        <v>4</v>
      </c>
      <c r="H310" s="8">
        <f t="shared" si="15"/>
        <v>15.2</v>
      </c>
      <c r="I310" s="8">
        <f t="shared" si="13"/>
        <v>0.80000000000000071</v>
      </c>
      <c r="J310" s="7">
        <f t="shared" si="14"/>
        <v>36</v>
      </c>
      <c r="K310" s="9">
        <v>1990</v>
      </c>
      <c r="L310" s="5">
        <v>2026</v>
      </c>
      <c r="M310" s="7" t="s">
        <v>16</v>
      </c>
    </row>
    <row r="311" spans="1:13" ht="12" customHeight="1" x14ac:dyDescent="0.25">
      <c r="A311" s="4">
        <v>308</v>
      </c>
      <c r="B311" s="9">
        <v>4195</v>
      </c>
      <c r="C311" s="9" t="s">
        <v>286</v>
      </c>
      <c r="D311" s="9">
        <v>20</v>
      </c>
      <c r="E311" s="4"/>
      <c r="F311" s="7"/>
      <c r="G311" s="4">
        <v>4</v>
      </c>
      <c r="H311" s="8">
        <f t="shared" si="15"/>
        <v>19</v>
      </c>
      <c r="I311" s="8">
        <f t="shared" si="13"/>
        <v>1</v>
      </c>
      <c r="J311" s="7">
        <f t="shared" si="14"/>
        <v>36</v>
      </c>
      <c r="K311" s="9">
        <v>1990</v>
      </c>
      <c r="L311" s="5">
        <v>2026</v>
      </c>
      <c r="M311" s="7" t="s">
        <v>16</v>
      </c>
    </row>
    <row r="312" spans="1:13" ht="12" customHeight="1" x14ac:dyDescent="0.25">
      <c r="A312" s="4">
        <v>309</v>
      </c>
      <c r="B312" s="5">
        <v>4197</v>
      </c>
      <c r="C312" s="6" t="s">
        <v>287</v>
      </c>
      <c r="D312" s="6">
        <v>35</v>
      </c>
      <c r="E312" s="4"/>
      <c r="F312" s="7"/>
      <c r="G312" s="4">
        <v>4</v>
      </c>
      <c r="H312" s="8">
        <f t="shared" si="15"/>
        <v>33.25</v>
      </c>
      <c r="I312" s="8">
        <f t="shared" si="13"/>
        <v>1.75</v>
      </c>
      <c r="J312" s="7">
        <f t="shared" si="14"/>
        <v>36</v>
      </c>
      <c r="K312" s="6">
        <v>1990</v>
      </c>
      <c r="L312" s="5">
        <v>2026</v>
      </c>
      <c r="M312" s="7" t="s">
        <v>16</v>
      </c>
    </row>
    <row r="313" spans="1:13" ht="12" customHeight="1" x14ac:dyDescent="0.25">
      <c r="A313" s="4">
        <v>310</v>
      </c>
      <c r="B313" s="5">
        <v>4199</v>
      </c>
      <c r="C313" s="6" t="s">
        <v>288</v>
      </c>
      <c r="D313" s="5">
        <v>75</v>
      </c>
      <c r="E313" s="4"/>
      <c r="F313" s="7"/>
      <c r="G313" s="4">
        <v>4</v>
      </c>
      <c r="H313" s="8">
        <f t="shared" si="15"/>
        <v>71.25</v>
      </c>
      <c r="I313" s="8">
        <f t="shared" si="13"/>
        <v>3.75</v>
      </c>
      <c r="J313" s="7">
        <f t="shared" si="14"/>
        <v>36</v>
      </c>
      <c r="K313" s="5">
        <v>1990</v>
      </c>
      <c r="L313" s="5">
        <v>2026</v>
      </c>
      <c r="M313" s="7" t="s">
        <v>16</v>
      </c>
    </row>
    <row r="314" spans="1:13" ht="12" customHeight="1" x14ac:dyDescent="0.25">
      <c r="A314" s="4">
        <v>311</v>
      </c>
      <c r="B314" s="9">
        <v>4200</v>
      </c>
      <c r="C314" s="9" t="s">
        <v>289</v>
      </c>
      <c r="D314" s="9">
        <v>18</v>
      </c>
      <c r="E314" s="4"/>
      <c r="F314" s="7"/>
      <c r="G314" s="4">
        <v>4</v>
      </c>
      <c r="H314" s="8">
        <f t="shared" si="15"/>
        <v>17.099999999999998</v>
      </c>
      <c r="I314" s="8">
        <f t="shared" si="13"/>
        <v>0.90000000000000213</v>
      </c>
      <c r="J314" s="7">
        <f t="shared" si="14"/>
        <v>36</v>
      </c>
      <c r="K314" s="9">
        <v>1990</v>
      </c>
      <c r="L314" s="5">
        <v>2026</v>
      </c>
      <c r="M314" s="7" t="s">
        <v>16</v>
      </c>
    </row>
    <row r="315" spans="1:13" ht="12" customHeight="1" x14ac:dyDescent="0.25">
      <c r="A315" s="4">
        <v>312</v>
      </c>
      <c r="B315" s="6">
        <v>4201</v>
      </c>
      <c r="C315" s="6" t="s">
        <v>290</v>
      </c>
      <c r="D315" s="6">
        <v>18</v>
      </c>
      <c r="E315" s="4"/>
      <c r="F315" s="7"/>
      <c r="G315" s="4">
        <v>4</v>
      </c>
      <c r="H315" s="8">
        <f t="shared" si="15"/>
        <v>17.099999999999998</v>
      </c>
      <c r="I315" s="8">
        <f t="shared" si="13"/>
        <v>0.90000000000000213</v>
      </c>
      <c r="J315" s="7">
        <f t="shared" si="14"/>
        <v>36</v>
      </c>
      <c r="K315" s="6">
        <v>1990</v>
      </c>
      <c r="L315" s="5">
        <v>2026</v>
      </c>
      <c r="M315" s="7" t="s">
        <v>16</v>
      </c>
    </row>
    <row r="316" spans="1:13" ht="12" customHeight="1" x14ac:dyDescent="0.25">
      <c r="A316" s="4">
        <v>313</v>
      </c>
      <c r="B316" s="9">
        <v>4208</v>
      </c>
      <c r="C316" s="9" t="s">
        <v>291</v>
      </c>
      <c r="D316" s="9">
        <v>25</v>
      </c>
      <c r="E316" s="4"/>
      <c r="F316" s="7"/>
      <c r="G316" s="4">
        <v>4</v>
      </c>
      <c r="H316" s="8">
        <f t="shared" si="15"/>
        <v>23.75</v>
      </c>
      <c r="I316" s="8">
        <f t="shared" si="13"/>
        <v>1.25</v>
      </c>
      <c r="J316" s="7">
        <f t="shared" si="14"/>
        <v>36</v>
      </c>
      <c r="K316" s="9">
        <v>1990</v>
      </c>
      <c r="L316" s="5">
        <v>2026</v>
      </c>
      <c r="M316" s="7" t="s">
        <v>16</v>
      </c>
    </row>
    <row r="317" spans="1:13" ht="12" customHeight="1" x14ac:dyDescent="0.25">
      <c r="A317" s="4">
        <v>314</v>
      </c>
      <c r="B317" s="5">
        <v>4267</v>
      </c>
      <c r="C317" s="6" t="s">
        <v>292</v>
      </c>
      <c r="D317" s="5">
        <v>35</v>
      </c>
      <c r="E317" s="4"/>
      <c r="F317" s="7"/>
      <c r="G317" s="4">
        <v>4</v>
      </c>
      <c r="H317" s="8">
        <f t="shared" si="15"/>
        <v>33.25</v>
      </c>
      <c r="I317" s="8">
        <f t="shared" si="13"/>
        <v>1.75</v>
      </c>
      <c r="J317" s="7">
        <f t="shared" si="14"/>
        <v>36</v>
      </c>
      <c r="K317" s="5">
        <v>1990</v>
      </c>
      <c r="L317" s="5">
        <v>2026</v>
      </c>
      <c r="M317" s="7" t="s">
        <v>16</v>
      </c>
    </row>
    <row r="318" spans="1:13" ht="12" customHeight="1" x14ac:dyDescent="0.25">
      <c r="A318" s="4">
        <v>315</v>
      </c>
      <c r="B318" s="5">
        <v>4272</v>
      </c>
      <c r="C318" s="6" t="s">
        <v>293</v>
      </c>
      <c r="D318" s="6">
        <v>55</v>
      </c>
      <c r="E318" s="4"/>
      <c r="F318" s="7"/>
      <c r="G318" s="4">
        <v>4</v>
      </c>
      <c r="H318" s="8">
        <f t="shared" si="15"/>
        <v>52.25</v>
      </c>
      <c r="I318" s="8">
        <f t="shared" si="13"/>
        <v>2.75</v>
      </c>
      <c r="J318" s="7">
        <f t="shared" si="14"/>
        <v>36</v>
      </c>
      <c r="K318" s="6">
        <v>1990</v>
      </c>
      <c r="L318" s="5">
        <v>2026</v>
      </c>
      <c r="M318" s="7" t="s">
        <v>16</v>
      </c>
    </row>
    <row r="319" spans="1:13" ht="12" customHeight="1" x14ac:dyDescent="0.25">
      <c r="A319" s="4">
        <v>316</v>
      </c>
      <c r="B319" s="5">
        <v>4341</v>
      </c>
      <c r="C319" s="6" t="s">
        <v>294</v>
      </c>
      <c r="D319" s="5">
        <v>30</v>
      </c>
      <c r="E319" s="4"/>
      <c r="F319" s="7"/>
      <c r="G319" s="4">
        <v>4</v>
      </c>
      <c r="H319" s="8">
        <f t="shared" si="15"/>
        <v>28.5</v>
      </c>
      <c r="I319" s="8">
        <f t="shared" si="13"/>
        <v>1.5</v>
      </c>
      <c r="J319" s="7">
        <f t="shared" si="14"/>
        <v>36</v>
      </c>
      <c r="K319" s="5">
        <v>1990</v>
      </c>
      <c r="L319" s="5">
        <v>2026</v>
      </c>
      <c r="M319" s="7" t="s">
        <v>16</v>
      </c>
    </row>
    <row r="320" spans="1:13" ht="12" customHeight="1" x14ac:dyDescent="0.25">
      <c r="A320" s="4">
        <v>317</v>
      </c>
      <c r="B320" s="5">
        <v>4348</v>
      </c>
      <c r="C320" s="6" t="s">
        <v>295</v>
      </c>
      <c r="D320" s="5">
        <v>17.5</v>
      </c>
      <c r="E320" s="4"/>
      <c r="F320" s="7"/>
      <c r="G320" s="4">
        <v>4</v>
      </c>
      <c r="H320" s="8">
        <f t="shared" si="15"/>
        <v>16.625</v>
      </c>
      <c r="I320" s="8">
        <f t="shared" si="13"/>
        <v>0.875</v>
      </c>
      <c r="J320" s="7">
        <f t="shared" si="14"/>
        <v>36</v>
      </c>
      <c r="K320" s="5">
        <v>1990</v>
      </c>
      <c r="L320" s="5">
        <v>2026</v>
      </c>
      <c r="M320" s="7" t="s">
        <v>16</v>
      </c>
    </row>
    <row r="321" spans="1:13" ht="12" customHeight="1" x14ac:dyDescent="0.25">
      <c r="A321" s="4">
        <v>318</v>
      </c>
      <c r="B321" s="5">
        <v>4367</v>
      </c>
      <c r="C321" s="6" t="s">
        <v>296</v>
      </c>
      <c r="D321" s="6">
        <v>16</v>
      </c>
      <c r="E321" s="4"/>
      <c r="F321" s="7"/>
      <c r="G321" s="4">
        <v>4</v>
      </c>
      <c r="H321" s="8">
        <f t="shared" si="15"/>
        <v>15.2</v>
      </c>
      <c r="I321" s="8">
        <f t="shared" si="13"/>
        <v>0.80000000000000071</v>
      </c>
      <c r="J321" s="7">
        <f t="shared" si="14"/>
        <v>36</v>
      </c>
      <c r="K321" s="6">
        <v>1990</v>
      </c>
      <c r="L321" s="5">
        <v>2026</v>
      </c>
      <c r="M321" s="7" t="s">
        <v>16</v>
      </c>
    </row>
    <row r="322" spans="1:13" ht="12" customHeight="1" x14ac:dyDescent="0.25">
      <c r="A322" s="4">
        <v>319</v>
      </c>
      <c r="B322" s="9">
        <v>4379</v>
      </c>
      <c r="C322" s="9" t="s">
        <v>297</v>
      </c>
      <c r="D322" s="9">
        <v>25</v>
      </c>
      <c r="E322" s="4"/>
      <c r="F322" s="7"/>
      <c r="G322" s="4">
        <v>4</v>
      </c>
      <c r="H322" s="8">
        <f t="shared" si="15"/>
        <v>23.75</v>
      </c>
      <c r="I322" s="8">
        <f t="shared" si="13"/>
        <v>1.25</v>
      </c>
      <c r="J322" s="7">
        <f t="shared" si="14"/>
        <v>36</v>
      </c>
      <c r="K322" s="9">
        <v>1990</v>
      </c>
      <c r="L322" s="5">
        <v>2026</v>
      </c>
      <c r="M322" s="7" t="s">
        <v>16</v>
      </c>
    </row>
    <row r="323" spans="1:13" ht="12" customHeight="1" x14ac:dyDescent="0.25">
      <c r="A323" s="4">
        <v>320</v>
      </c>
      <c r="B323" s="5">
        <v>4386</v>
      </c>
      <c r="C323" s="6" t="s">
        <v>298</v>
      </c>
      <c r="D323" s="5">
        <v>20</v>
      </c>
      <c r="E323" s="4"/>
      <c r="F323" s="7"/>
      <c r="G323" s="4">
        <v>4</v>
      </c>
      <c r="H323" s="8">
        <f t="shared" si="15"/>
        <v>19</v>
      </c>
      <c r="I323" s="8">
        <f t="shared" si="13"/>
        <v>1</v>
      </c>
      <c r="J323" s="7">
        <f t="shared" si="14"/>
        <v>36</v>
      </c>
      <c r="K323" s="5">
        <v>1990</v>
      </c>
      <c r="L323" s="5">
        <v>2026</v>
      </c>
      <c r="M323" s="7" t="s">
        <v>16</v>
      </c>
    </row>
    <row r="324" spans="1:13" ht="12" customHeight="1" x14ac:dyDescent="0.25">
      <c r="A324" s="4">
        <v>321</v>
      </c>
      <c r="B324" s="9">
        <v>4388</v>
      </c>
      <c r="C324" s="9" t="s">
        <v>299</v>
      </c>
      <c r="D324" s="9">
        <v>35</v>
      </c>
      <c r="E324" s="4"/>
      <c r="F324" s="7"/>
      <c r="G324" s="4">
        <v>4</v>
      </c>
      <c r="H324" s="8">
        <f t="shared" si="15"/>
        <v>33.25</v>
      </c>
      <c r="I324" s="8">
        <f t="shared" ref="I324:I387" si="16">(D324-H324)</f>
        <v>1.75</v>
      </c>
      <c r="J324" s="7">
        <f t="shared" ref="J324:J387" si="17">(L324-K324)</f>
        <v>36</v>
      </c>
      <c r="K324" s="9">
        <v>1990</v>
      </c>
      <c r="L324" s="5">
        <v>2026</v>
      </c>
      <c r="M324" s="7" t="s">
        <v>16</v>
      </c>
    </row>
    <row r="325" spans="1:13" ht="12" customHeight="1" x14ac:dyDescent="0.25">
      <c r="A325" s="4">
        <v>322</v>
      </c>
      <c r="B325" s="9">
        <v>4392</v>
      </c>
      <c r="C325" s="9" t="s">
        <v>300</v>
      </c>
      <c r="D325" s="9">
        <v>48</v>
      </c>
      <c r="E325" s="4"/>
      <c r="F325" s="7"/>
      <c r="G325" s="4">
        <v>4</v>
      </c>
      <c r="H325" s="8">
        <f t="shared" ref="H325:H388" si="18">D325*0.95</f>
        <v>45.599999999999994</v>
      </c>
      <c r="I325" s="8">
        <f t="shared" si="16"/>
        <v>2.4000000000000057</v>
      </c>
      <c r="J325" s="7">
        <f t="shared" si="17"/>
        <v>36</v>
      </c>
      <c r="K325" s="9">
        <v>1990</v>
      </c>
      <c r="L325" s="5">
        <v>2026</v>
      </c>
      <c r="M325" s="7" t="s">
        <v>16</v>
      </c>
    </row>
    <row r="326" spans="1:13" ht="12" customHeight="1" x14ac:dyDescent="0.25">
      <c r="A326" s="4">
        <v>323</v>
      </c>
      <c r="B326" s="5">
        <v>4452</v>
      </c>
      <c r="C326" s="6" t="s">
        <v>301</v>
      </c>
      <c r="D326" s="5">
        <v>700</v>
      </c>
      <c r="E326" s="4"/>
      <c r="F326" s="7"/>
      <c r="G326" s="4">
        <v>4</v>
      </c>
      <c r="H326" s="8">
        <f t="shared" si="18"/>
        <v>665</v>
      </c>
      <c r="I326" s="8">
        <f t="shared" si="16"/>
        <v>35</v>
      </c>
      <c r="J326" s="7">
        <f t="shared" si="17"/>
        <v>36</v>
      </c>
      <c r="K326" s="5">
        <v>1990</v>
      </c>
      <c r="L326" s="5">
        <v>2026</v>
      </c>
      <c r="M326" s="7" t="s">
        <v>16</v>
      </c>
    </row>
    <row r="327" spans="1:13" ht="12" customHeight="1" x14ac:dyDescent="0.25">
      <c r="A327" s="4">
        <v>324</v>
      </c>
      <c r="B327" s="9">
        <v>4458</v>
      </c>
      <c r="C327" s="9" t="s">
        <v>302</v>
      </c>
      <c r="D327" s="9">
        <v>20.75</v>
      </c>
      <c r="E327" s="4"/>
      <c r="F327" s="7"/>
      <c r="G327" s="4">
        <v>4</v>
      </c>
      <c r="H327" s="8">
        <f t="shared" si="18"/>
        <v>19.712499999999999</v>
      </c>
      <c r="I327" s="8">
        <f t="shared" si="16"/>
        <v>1.0375000000000014</v>
      </c>
      <c r="J327" s="7">
        <f t="shared" si="17"/>
        <v>38</v>
      </c>
      <c r="K327" s="9">
        <v>1988</v>
      </c>
      <c r="L327" s="5">
        <v>2026</v>
      </c>
      <c r="M327" s="7" t="s">
        <v>16</v>
      </c>
    </row>
    <row r="328" spans="1:13" ht="12" customHeight="1" x14ac:dyDescent="0.25">
      <c r="A328" s="4">
        <v>325</v>
      </c>
      <c r="B328" s="5">
        <v>4463</v>
      </c>
      <c r="C328" s="6" t="s">
        <v>303</v>
      </c>
      <c r="D328" s="6">
        <v>17.25</v>
      </c>
      <c r="E328" s="4"/>
      <c r="F328" s="7"/>
      <c r="G328" s="4">
        <v>4</v>
      </c>
      <c r="H328" s="8">
        <f t="shared" si="18"/>
        <v>16.387499999999999</v>
      </c>
      <c r="I328" s="8">
        <f t="shared" si="16"/>
        <v>0.86250000000000071</v>
      </c>
      <c r="J328" s="7">
        <f t="shared" si="17"/>
        <v>36</v>
      </c>
      <c r="K328" s="6">
        <v>1990</v>
      </c>
      <c r="L328" s="5">
        <v>2026</v>
      </c>
      <c r="M328" s="7" t="s">
        <v>16</v>
      </c>
    </row>
    <row r="329" spans="1:13" ht="12" customHeight="1" x14ac:dyDescent="0.25">
      <c r="A329" s="4">
        <v>326</v>
      </c>
      <c r="B329" s="5">
        <v>4494</v>
      </c>
      <c r="C329" s="6" t="s">
        <v>304</v>
      </c>
      <c r="D329" s="5">
        <v>25</v>
      </c>
      <c r="E329" s="4"/>
      <c r="F329" s="7"/>
      <c r="G329" s="4">
        <v>4</v>
      </c>
      <c r="H329" s="8">
        <f t="shared" si="18"/>
        <v>23.75</v>
      </c>
      <c r="I329" s="8">
        <f t="shared" si="16"/>
        <v>1.25</v>
      </c>
      <c r="J329" s="7">
        <f t="shared" si="17"/>
        <v>35</v>
      </c>
      <c r="K329" s="5">
        <v>1991</v>
      </c>
      <c r="L329" s="5">
        <v>2026</v>
      </c>
      <c r="M329" s="7" t="s">
        <v>16</v>
      </c>
    </row>
    <row r="330" spans="1:13" ht="12" customHeight="1" x14ac:dyDescent="0.25">
      <c r="A330" s="4">
        <v>327</v>
      </c>
      <c r="B330" s="9">
        <v>4495</v>
      </c>
      <c r="C330" s="9" t="s">
        <v>305</v>
      </c>
      <c r="D330" s="9">
        <v>25</v>
      </c>
      <c r="E330" s="4"/>
      <c r="F330" s="7"/>
      <c r="G330" s="4">
        <v>4</v>
      </c>
      <c r="H330" s="8">
        <f t="shared" si="18"/>
        <v>23.75</v>
      </c>
      <c r="I330" s="8">
        <f t="shared" si="16"/>
        <v>1.25</v>
      </c>
      <c r="J330" s="7">
        <f t="shared" si="17"/>
        <v>36</v>
      </c>
      <c r="K330" s="9">
        <v>1990</v>
      </c>
      <c r="L330" s="5">
        <v>2026</v>
      </c>
      <c r="M330" s="7" t="s">
        <v>16</v>
      </c>
    </row>
    <row r="331" spans="1:13" ht="12" customHeight="1" x14ac:dyDescent="0.25">
      <c r="A331" s="4">
        <v>328</v>
      </c>
      <c r="B331" s="5">
        <v>4496</v>
      </c>
      <c r="C331" s="6" t="s">
        <v>306</v>
      </c>
      <c r="D331" s="6">
        <v>95</v>
      </c>
      <c r="E331" s="4"/>
      <c r="F331" s="7"/>
      <c r="G331" s="4">
        <v>4</v>
      </c>
      <c r="H331" s="8">
        <f t="shared" si="18"/>
        <v>90.25</v>
      </c>
      <c r="I331" s="8">
        <f t="shared" si="16"/>
        <v>4.75</v>
      </c>
      <c r="J331" s="7">
        <f t="shared" si="17"/>
        <v>35</v>
      </c>
      <c r="K331" s="6">
        <v>1991</v>
      </c>
      <c r="L331" s="5">
        <v>2026</v>
      </c>
      <c r="M331" s="7" t="s">
        <v>16</v>
      </c>
    </row>
    <row r="332" spans="1:13" ht="12" customHeight="1" x14ac:dyDescent="0.25">
      <c r="A332" s="4">
        <v>329</v>
      </c>
      <c r="B332" s="9">
        <v>4497</v>
      </c>
      <c r="C332" s="9" t="s">
        <v>307</v>
      </c>
      <c r="D332" s="9">
        <v>95</v>
      </c>
      <c r="E332" s="4"/>
      <c r="F332" s="7"/>
      <c r="G332" s="4">
        <v>4</v>
      </c>
      <c r="H332" s="8">
        <f t="shared" si="18"/>
        <v>90.25</v>
      </c>
      <c r="I332" s="8">
        <f t="shared" si="16"/>
        <v>4.75</v>
      </c>
      <c r="J332" s="7">
        <f t="shared" si="17"/>
        <v>36</v>
      </c>
      <c r="K332" s="9">
        <v>1990</v>
      </c>
      <c r="L332" s="5">
        <v>2026</v>
      </c>
      <c r="M332" s="7" t="s">
        <v>16</v>
      </c>
    </row>
    <row r="333" spans="1:13" ht="12" customHeight="1" x14ac:dyDescent="0.25">
      <c r="A333" s="4">
        <v>330</v>
      </c>
      <c r="B333" s="9">
        <v>4499</v>
      </c>
      <c r="C333" s="9" t="s">
        <v>308</v>
      </c>
      <c r="D333" s="9">
        <v>45</v>
      </c>
      <c r="E333" s="4"/>
      <c r="F333" s="7"/>
      <c r="G333" s="4">
        <v>4</v>
      </c>
      <c r="H333" s="8">
        <f t="shared" si="18"/>
        <v>42.75</v>
      </c>
      <c r="I333" s="8">
        <f t="shared" si="16"/>
        <v>2.25</v>
      </c>
      <c r="J333" s="7">
        <f t="shared" si="17"/>
        <v>36</v>
      </c>
      <c r="K333" s="9">
        <v>1990</v>
      </c>
      <c r="L333" s="5">
        <v>2026</v>
      </c>
      <c r="M333" s="7" t="s">
        <v>16</v>
      </c>
    </row>
    <row r="334" spans="1:13" ht="12" customHeight="1" x14ac:dyDescent="0.25">
      <c r="A334" s="4">
        <v>331</v>
      </c>
      <c r="B334" s="5">
        <v>4500</v>
      </c>
      <c r="C334" s="6" t="s">
        <v>309</v>
      </c>
      <c r="D334" s="6">
        <v>95</v>
      </c>
      <c r="E334" s="4"/>
      <c r="F334" s="7"/>
      <c r="G334" s="4">
        <v>4</v>
      </c>
      <c r="H334" s="8">
        <f t="shared" si="18"/>
        <v>90.25</v>
      </c>
      <c r="I334" s="8">
        <f t="shared" si="16"/>
        <v>4.75</v>
      </c>
      <c r="J334" s="7">
        <f t="shared" si="17"/>
        <v>35</v>
      </c>
      <c r="K334" s="6">
        <v>1991</v>
      </c>
      <c r="L334" s="5">
        <v>2026</v>
      </c>
      <c r="M334" s="7" t="s">
        <v>16</v>
      </c>
    </row>
    <row r="335" spans="1:13" ht="12" customHeight="1" x14ac:dyDescent="0.25">
      <c r="A335" s="4">
        <v>332</v>
      </c>
      <c r="B335" s="5">
        <v>4501</v>
      </c>
      <c r="C335" s="6" t="s">
        <v>310</v>
      </c>
      <c r="D335" s="5">
        <v>95</v>
      </c>
      <c r="E335" s="4"/>
      <c r="F335" s="7"/>
      <c r="G335" s="4">
        <v>4</v>
      </c>
      <c r="H335" s="8">
        <f t="shared" si="18"/>
        <v>90.25</v>
      </c>
      <c r="I335" s="8">
        <f t="shared" si="16"/>
        <v>4.75</v>
      </c>
      <c r="J335" s="7">
        <f t="shared" si="17"/>
        <v>35</v>
      </c>
      <c r="K335" s="5">
        <v>1991</v>
      </c>
      <c r="L335" s="5">
        <v>2026</v>
      </c>
      <c r="M335" s="7" t="s">
        <v>16</v>
      </c>
    </row>
    <row r="336" spans="1:13" ht="12" customHeight="1" x14ac:dyDescent="0.25">
      <c r="A336" s="4">
        <v>333</v>
      </c>
      <c r="B336" s="5">
        <v>4502</v>
      </c>
      <c r="C336" s="6" t="s">
        <v>311</v>
      </c>
      <c r="D336" s="5">
        <v>2</v>
      </c>
      <c r="E336" s="4"/>
      <c r="F336" s="7"/>
      <c r="G336" s="4">
        <v>4</v>
      </c>
      <c r="H336" s="8">
        <f t="shared" si="18"/>
        <v>1.9</v>
      </c>
      <c r="I336" s="8">
        <f t="shared" si="16"/>
        <v>0.10000000000000009</v>
      </c>
      <c r="J336" s="7">
        <f t="shared" si="17"/>
        <v>43</v>
      </c>
      <c r="K336" s="5">
        <v>1983</v>
      </c>
      <c r="L336" s="5">
        <v>2026</v>
      </c>
      <c r="M336" s="7" t="s">
        <v>16</v>
      </c>
    </row>
    <row r="337" spans="1:13" ht="12" customHeight="1" x14ac:dyDescent="0.25">
      <c r="A337" s="4">
        <v>334</v>
      </c>
      <c r="B337" s="5">
        <v>4510</v>
      </c>
      <c r="C337" s="6" t="s">
        <v>312</v>
      </c>
      <c r="D337" s="6">
        <v>25</v>
      </c>
      <c r="E337" s="4"/>
      <c r="F337" s="7"/>
      <c r="G337" s="4">
        <v>4</v>
      </c>
      <c r="H337" s="8">
        <f t="shared" si="18"/>
        <v>23.75</v>
      </c>
      <c r="I337" s="8">
        <f t="shared" si="16"/>
        <v>1.25</v>
      </c>
      <c r="J337" s="7">
        <f t="shared" si="17"/>
        <v>36</v>
      </c>
      <c r="K337" s="6">
        <v>1990</v>
      </c>
      <c r="L337" s="5">
        <v>2026</v>
      </c>
      <c r="M337" s="7" t="s">
        <v>16</v>
      </c>
    </row>
    <row r="338" spans="1:13" ht="12" customHeight="1" x14ac:dyDescent="0.25">
      <c r="A338" s="4">
        <v>335</v>
      </c>
      <c r="B338" s="9">
        <v>4511</v>
      </c>
      <c r="C338" s="9" t="s">
        <v>313</v>
      </c>
      <c r="D338" s="9">
        <v>15</v>
      </c>
      <c r="E338" s="4"/>
      <c r="F338" s="7"/>
      <c r="G338" s="4">
        <v>4</v>
      </c>
      <c r="H338" s="8">
        <f t="shared" si="18"/>
        <v>14.25</v>
      </c>
      <c r="I338" s="8">
        <f t="shared" si="16"/>
        <v>0.75</v>
      </c>
      <c r="J338" s="7">
        <f t="shared" si="17"/>
        <v>35</v>
      </c>
      <c r="K338" s="9">
        <v>1991</v>
      </c>
      <c r="L338" s="5">
        <v>2026</v>
      </c>
      <c r="M338" s="7" t="s">
        <v>16</v>
      </c>
    </row>
    <row r="339" spans="1:13" ht="12" customHeight="1" x14ac:dyDescent="0.25">
      <c r="A339" s="4">
        <v>336</v>
      </c>
      <c r="B339" s="5">
        <v>4513</v>
      </c>
      <c r="C339" s="6" t="s">
        <v>314</v>
      </c>
      <c r="D339" s="5">
        <v>15</v>
      </c>
      <c r="E339" s="4"/>
      <c r="F339" s="7"/>
      <c r="G339" s="4">
        <v>4</v>
      </c>
      <c r="H339" s="8">
        <f t="shared" si="18"/>
        <v>14.25</v>
      </c>
      <c r="I339" s="8">
        <f t="shared" si="16"/>
        <v>0.75</v>
      </c>
      <c r="J339" s="7">
        <f t="shared" si="17"/>
        <v>35</v>
      </c>
      <c r="K339" s="5">
        <v>1991</v>
      </c>
      <c r="L339" s="5">
        <v>2026</v>
      </c>
      <c r="M339" s="7" t="s">
        <v>16</v>
      </c>
    </row>
    <row r="340" spans="1:13" ht="12" customHeight="1" x14ac:dyDescent="0.25">
      <c r="A340" s="4">
        <v>337</v>
      </c>
      <c r="B340" s="9">
        <v>4519</v>
      </c>
      <c r="C340" s="9" t="s">
        <v>315</v>
      </c>
      <c r="D340" s="9">
        <v>15</v>
      </c>
      <c r="E340" s="4"/>
      <c r="F340" s="7"/>
      <c r="G340" s="4">
        <v>4</v>
      </c>
      <c r="H340" s="8">
        <f t="shared" si="18"/>
        <v>14.25</v>
      </c>
      <c r="I340" s="8">
        <f t="shared" si="16"/>
        <v>0.75</v>
      </c>
      <c r="J340" s="7">
        <f t="shared" si="17"/>
        <v>35</v>
      </c>
      <c r="K340" s="9">
        <v>1991</v>
      </c>
      <c r="L340" s="5">
        <v>2026</v>
      </c>
      <c r="M340" s="7" t="s">
        <v>16</v>
      </c>
    </row>
    <row r="341" spans="1:13" ht="12" customHeight="1" x14ac:dyDescent="0.25">
      <c r="A341" s="4">
        <v>338</v>
      </c>
      <c r="B341" s="5">
        <v>4528</v>
      </c>
      <c r="C341" s="6" t="s">
        <v>316</v>
      </c>
      <c r="D341" s="6">
        <v>6.5</v>
      </c>
      <c r="E341" s="4"/>
      <c r="F341" s="7"/>
      <c r="G341" s="4">
        <v>4</v>
      </c>
      <c r="H341" s="8">
        <f t="shared" si="18"/>
        <v>6.1749999999999998</v>
      </c>
      <c r="I341" s="8">
        <f t="shared" si="16"/>
        <v>0.32500000000000018</v>
      </c>
      <c r="J341" s="7">
        <f t="shared" si="17"/>
        <v>35</v>
      </c>
      <c r="K341" s="6">
        <v>1991</v>
      </c>
      <c r="L341" s="5">
        <v>2026</v>
      </c>
      <c r="M341" s="7" t="s">
        <v>16</v>
      </c>
    </row>
    <row r="342" spans="1:13" ht="12" customHeight="1" x14ac:dyDescent="0.25">
      <c r="A342" s="4">
        <v>339</v>
      </c>
      <c r="B342" s="5">
        <v>4536</v>
      </c>
      <c r="C342" s="6" t="s">
        <v>317</v>
      </c>
      <c r="D342" s="6">
        <v>15</v>
      </c>
      <c r="E342" s="4"/>
      <c r="F342" s="7"/>
      <c r="G342" s="4">
        <v>4</v>
      </c>
      <c r="H342" s="8">
        <f t="shared" si="18"/>
        <v>14.25</v>
      </c>
      <c r="I342" s="8">
        <f t="shared" si="16"/>
        <v>0.75</v>
      </c>
      <c r="J342" s="7">
        <f t="shared" si="17"/>
        <v>35</v>
      </c>
      <c r="K342" s="6">
        <v>1991</v>
      </c>
      <c r="L342" s="5">
        <v>2026</v>
      </c>
      <c r="M342" s="7" t="s">
        <v>16</v>
      </c>
    </row>
    <row r="343" spans="1:13" ht="12" customHeight="1" x14ac:dyDescent="0.25">
      <c r="A343" s="4">
        <v>340</v>
      </c>
      <c r="B343" s="5">
        <v>4545</v>
      </c>
      <c r="C343" s="6" t="s">
        <v>318</v>
      </c>
      <c r="D343" s="5">
        <v>50</v>
      </c>
      <c r="E343" s="4"/>
      <c r="F343" s="7"/>
      <c r="G343" s="4">
        <v>4</v>
      </c>
      <c r="H343" s="8">
        <f t="shared" si="18"/>
        <v>47.5</v>
      </c>
      <c r="I343" s="8">
        <f t="shared" si="16"/>
        <v>2.5</v>
      </c>
      <c r="J343" s="7">
        <f t="shared" si="17"/>
        <v>35</v>
      </c>
      <c r="K343" s="5">
        <v>1991</v>
      </c>
      <c r="L343" s="5">
        <v>2026</v>
      </c>
      <c r="M343" s="7" t="s">
        <v>16</v>
      </c>
    </row>
    <row r="344" spans="1:13" ht="12" customHeight="1" x14ac:dyDescent="0.25">
      <c r="A344" s="4">
        <v>341</v>
      </c>
      <c r="B344" s="9">
        <v>4553</v>
      </c>
      <c r="C344" s="9" t="s">
        <v>319</v>
      </c>
      <c r="D344" s="9">
        <v>10</v>
      </c>
      <c r="E344" s="4"/>
      <c r="F344" s="7"/>
      <c r="G344" s="4">
        <v>4</v>
      </c>
      <c r="H344" s="8">
        <f t="shared" si="18"/>
        <v>9.5</v>
      </c>
      <c r="I344" s="8">
        <f t="shared" si="16"/>
        <v>0.5</v>
      </c>
      <c r="J344" s="7">
        <f t="shared" si="17"/>
        <v>35</v>
      </c>
      <c r="K344" s="9">
        <v>1991</v>
      </c>
      <c r="L344" s="5">
        <v>2026</v>
      </c>
      <c r="M344" s="7" t="s">
        <v>16</v>
      </c>
    </row>
    <row r="345" spans="1:13" ht="12" customHeight="1" x14ac:dyDescent="0.25">
      <c r="A345" s="4">
        <v>342</v>
      </c>
      <c r="B345" s="9">
        <v>4555</v>
      </c>
      <c r="C345" s="9" t="s">
        <v>320</v>
      </c>
      <c r="D345" s="9">
        <v>10</v>
      </c>
      <c r="E345" s="4"/>
      <c r="F345" s="7"/>
      <c r="G345" s="4">
        <v>4</v>
      </c>
      <c r="H345" s="8">
        <f t="shared" si="18"/>
        <v>9.5</v>
      </c>
      <c r="I345" s="8">
        <f t="shared" si="16"/>
        <v>0.5</v>
      </c>
      <c r="J345" s="7">
        <f t="shared" si="17"/>
        <v>35</v>
      </c>
      <c r="K345" s="9">
        <v>1991</v>
      </c>
      <c r="L345" s="5">
        <v>2026</v>
      </c>
      <c r="M345" s="7" t="s">
        <v>16</v>
      </c>
    </row>
    <row r="346" spans="1:13" ht="12" customHeight="1" x14ac:dyDescent="0.25">
      <c r="A346" s="4">
        <v>343</v>
      </c>
      <c r="B346" s="9">
        <v>4558</v>
      </c>
      <c r="C346" s="9" t="s">
        <v>321</v>
      </c>
      <c r="D346" s="9">
        <v>10</v>
      </c>
      <c r="E346" s="4"/>
      <c r="F346" s="7"/>
      <c r="G346" s="4">
        <v>4</v>
      </c>
      <c r="H346" s="8">
        <f t="shared" si="18"/>
        <v>9.5</v>
      </c>
      <c r="I346" s="8">
        <f t="shared" si="16"/>
        <v>0.5</v>
      </c>
      <c r="J346" s="7">
        <f t="shared" si="17"/>
        <v>35</v>
      </c>
      <c r="K346" s="9">
        <v>1991</v>
      </c>
      <c r="L346" s="5">
        <v>2026</v>
      </c>
      <c r="M346" s="7" t="s">
        <v>16</v>
      </c>
    </row>
    <row r="347" spans="1:13" ht="12" customHeight="1" x14ac:dyDescent="0.25">
      <c r="A347" s="4">
        <v>344</v>
      </c>
      <c r="B347" s="5">
        <v>4560</v>
      </c>
      <c r="C347" s="6" t="s">
        <v>322</v>
      </c>
      <c r="D347" s="5">
        <v>8</v>
      </c>
      <c r="E347" s="4"/>
      <c r="F347" s="7"/>
      <c r="G347" s="4">
        <v>4</v>
      </c>
      <c r="H347" s="8">
        <f t="shared" si="18"/>
        <v>7.6</v>
      </c>
      <c r="I347" s="8">
        <f t="shared" si="16"/>
        <v>0.40000000000000036</v>
      </c>
      <c r="J347" s="7">
        <f t="shared" si="17"/>
        <v>35</v>
      </c>
      <c r="K347" s="5">
        <v>1991</v>
      </c>
      <c r="L347" s="5">
        <v>2026</v>
      </c>
      <c r="M347" s="7" t="s">
        <v>16</v>
      </c>
    </row>
    <row r="348" spans="1:13" ht="12" customHeight="1" x14ac:dyDescent="0.25">
      <c r="A348" s="4">
        <v>345</v>
      </c>
      <c r="B348" s="5">
        <v>4563</v>
      </c>
      <c r="C348" s="6" t="s">
        <v>323</v>
      </c>
      <c r="D348" s="5">
        <v>8</v>
      </c>
      <c r="E348" s="4"/>
      <c r="F348" s="7"/>
      <c r="G348" s="4">
        <v>4</v>
      </c>
      <c r="H348" s="8">
        <f t="shared" si="18"/>
        <v>7.6</v>
      </c>
      <c r="I348" s="8">
        <f t="shared" si="16"/>
        <v>0.40000000000000036</v>
      </c>
      <c r="J348" s="7">
        <f t="shared" si="17"/>
        <v>35</v>
      </c>
      <c r="K348" s="5">
        <v>1991</v>
      </c>
      <c r="L348" s="5">
        <v>2026</v>
      </c>
      <c r="M348" s="7" t="s">
        <v>16</v>
      </c>
    </row>
    <row r="349" spans="1:13" ht="12" customHeight="1" x14ac:dyDescent="0.25">
      <c r="A349" s="4">
        <v>346</v>
      </c>
      <c r="B349" s="9">
        <v>4566</v>
      </c>
      <c r="C349" s="9" t="s">
        <v>324</v>
      </c>
      <c r="D349" s="9">
        <v>7</v>
      </c>
      <c r="E349" s="4"/>
      <c r="F349" s="7"/>
      <c r="G349" s="4">
        <v>4</v>
      </c>
      <c r="H349" s="8">
        <f t="shared" si="18"/>
        <v>6.6499999999999995</v>
      </c>
      <c r="I349" s="8">
        <f t="shared" si="16"/>
        <v>0.35000000000000053</v>
      </c>
      <c r="J349" s="7">
        <f t="shared" si="17"/>
        <v>35</v>
      </c>
      <c r="K349" s="9">
        <v>1991</v>
      </c>
      <c r="L349" s="5">
        <v>2026</v>
      </c>
      <c r="M349" s="7" t="s">
        <v>16</v>
      </c>
    </row>
    <row r="350" spans="1:13" ht="12" customHeight="1" x14ac:dyDescent="0.25">
      <c r="A350" s="4">
        <v>347</v>
      </c>
      <c r="B350" s="5">
        <v>4570</v>
      </c>
      <c r="C350" s="6" t="s">
        <v>325</v>
      </c>
      <c r="D350" s="5">
        <v>8</v>
      </c>
      <c r="E350" s="4"/>
      <c r="F350" s="7"/>
      <c r="G350" s="4">
        <v>4</v>
      </c>
      <c r="H350" s="8">
        <f t="shared" si="18"/>
        <v>7.6</v>
      </c>
      <c r="I350" s="8">
        <f t="shared" si="16"/>
        <v>0.40000000000000036</v>
      </c>
      <c r="J350" s="7">
        <f t="shared" si="17"/>
        <v>36</v>
      </c>
      <c r="K350" s="5">
        <v>1990</v>
      </c>
      <c r="L350" s="5">
        <v>2026</v>
      </c>
      <c r="M350" s="7" t="s">
        <v>16</v>
      </c>
    </row>
    <row r="351" spans="1:13" ht="12" customHeight="1" x14ac:dyDescent="0.25">
      <c r="A351" s="4">
        <v>348</v>
      </c>
      <c r="B351" s="5">
        <v>4579</v>
      </c>
      <c r="C351" s="6" t="s">
        <v>326</v>
      </c>
      <c r="D351" s="5">
        <v>20</v>
      </c>
      <c r="E351" s="4"/>
      <c r="F351" s="7"/>
      <c r="G351" s="4">
        <v>4</v>
      </c>
      <c r="H351" s="8">
        <f t="shared" si="18"/>
        <v>19</v>
      </c>
      <c r="I351" s="8">
        <f t="shared" si="16"/>
        <v>1</v>
      </c>
      <c r="J351" s="7">
        <f t="shared" si="17"/>
        <v>35</v>
      </c>
      <c r="K351" s="5">
        <v>1991</v>
      </c>
      <c r="L351" s="5">
        <v>2026</v>
      </c>
      <c r="M351" s="7" t="s">
        <v>16</v>
      </c>
    </row>
    <row r="352" spans="1:13" ht="12" customHeight="1" x14ac:dyDescent="0.25">
      <c r="A352" s="4">
        <v>349</v>
      </c>
      <c r="B352" s="9">
        <v>4586</v>
      </c>
      <c r="C352" s="9" t="s">
        <v>327</v>
      </c>
      <c r="D352" s="9">
        <v>12</v>
      </c>
      <c r="E352" s="4"/>
      <c r="F352" s="7"/>
      <c r="G352" s="4">
        <v>4</v>
      </c>
      <c r="H352" s="8">
        <f t="shared" si="18"/>
        <v>11.399999999999999</v>
      </c>
      <c r="I352" s="8">
        <f t="shared" si="16"/>
        <v>0.60000000000000142</v>
      </c>
      <c r="J352" s="7">
        <f t="shared" si="17"/>
        <v>35</v>
      </c>
      <c r="K352" s="9">
        <v>1991</v>
      </c>
      <c r="L352" s="5">
        <v>2026</v>
      </c>
      <c r="M352" s="7" t="s">
        <v>16</v>
      </c>
    </row>
    <row r="353" spans="1:13" ht="12" customHeight="1" x14ac:dyDescent="0.25">
      <c r="A353" s="4">
        <v>350</v>
      </c>
      <c r="B353" s="9">
        <v>4588</v>
      </c>
      <c r="C353" s="9" t="s">
        <v>328</v>
      </c>
      <c r="D353" s="9">
        <v>70</v>
      </c>
      <c r="E353" s="4"/>
      <c r="F353" s="7"/>
      <c r="G353" s="4">
        <v>4</v>
      </c>
      <c r="H353" s="8">
        <f t="shared" si="18"/>
        <v>66.5</v>
      </c>
      <c r="I353" s="8">
        <f t="shared" si="16"/>
        <v>3.5</v>
      </c>
      <c r="J353" s="7">
        <f t="shared" si="17"/>
        <v>35</v>
      </c>
      <c r="K353" s="9">
        <v>1991</v>
      </c>
      <c r="L353" s="5">
        <v>2026</v>
      </c>
      <c r="M353" s="7" t="s">
        <v>16</v>
      </c>
    </row>
    <row r="354" spans="1:13" ht="12" customHeight="1" x14ac:dyDescent="0.25">
      <c r="A354" s="4">
        <v>351</v>
      </c>
      <c r="B354" s="5">
        <v>4590</v>
      </c>
      <c r="C354" s="6" t="s">
        <v>329</v>
      </c>
      <c r="D354" s="6">
        <v>12</v>
      </c>
      <c r="E354" s="4"/>
      <c r="F354" s="7"/>
      <c r="G354" s="4">
        <v>4</v>
      </c>
      <c r="H354" s="8">
        <f t="shared" si="18"/>
        <v>11.399999999999999</v>
      </c>
      <c r="I354" s="8">
        <f t="shared" si="16"/>
        <v>0.60000000000000142</v>
      </c>
      <c r="J354" s="7">
        <f t="shared" si="17"/>
        <v>35</v>
      </c>
      <c r="K354" s="6">
        <v>1991</v>
      </c>
      <c r="L354" s="5">
        <v>2026</v>
      </c>
      <c r="M354" s="7" t="s">
        <v>16</v>
      </c>
    </row>
    <row r="355" spans="1:13" ht="12" customHeight="1" x14ac:dyDescent="0.25">
      <c r="A355" s="4">
        <v>352</v>
      </c>
      <c r="B355" s="9">
        <v>4601</v>
      </c>
      <c r="C355" s="9" t="s">
        <v>330</v>
      </c>
      <c r="D355" s="9">
        <v>65</v>
      </c>
      <c r="E355" s="4"/>
      <c r="F355" s="7"/>
      <c r="G355" s="4">
        <v>4</v>
      </c>
      <c r="H355" s="8">
        <f t="shared" si="18"/>
        <v>61.75</v>
      </c>
      <c r="I355" s="8">
        <f t="shared" si="16"/>
        <v>3.25</v>
      </c>
      <c r="J355" s="7">
        <f t="shared" si="17"/>
        <v>35</v>
      </c>
      <c r="K355" s="9">
        <v>1991</v>
      </c>
      <c r="L355" s="5">
        <v>2026</v>
      </c>
      <c r="M355" s="7" t="s">
        <v>16</v>
      </c>
    </row>
    <row r="356" spans="1:13" ht="12" customHeight="1" x14ac:dyDescent="0.25">
      <c r="A356" s="4">
        <v>353</v>
      </c>
      <c r="B356" s="5">
        <v>4602</v>
      </c>
      <c r="C356" s="6" t="s">
        <v>331</v>
      </c>
      <c r="D356" s="6">
        <v>40</v>
      </c>
      <c r="E356" s="4"/>
      <c r="F356" s="7"/>
      <c r="G356" s="4">
        <v>4</v>
      </c>
      <c r="H356" s="8">
        <f t="shared" si="18"/>
        <v>38</v>
      </c>
      <c r="I356" s="8">
        <f t="shared" si="16"/>
        <v>2</v>
      </c>
      <c r="J356" s="7">
        <f t="shared" si="17"/>
        <v>35</v>
      </c>
      <c r="K356" s="6">
        <v>1991</v>
      </c>
      <c r="L356" s="5">
        <v>2026</v>
      </c>
      <c r="M356" s="7" t="s">
        <v>16</v>
      </c>
    </row>
    <row r="357" spans="1:13" ht="12" customHeight="1" x14ac:dyDescent="0.25">
      <c r="A357" s="4">
        <v>354</v>
      </c>
      <c r="B357" s="9">
        <v>4665</v>
      </c>
      <c r="C357" s="9" t="s">
        <v>332</v>
      </c>
      <c r="D357" s="9">
        <v>40</v>
      </c>
      <c r="E357" s="4"/>
      <c r="F357" s="7"/>
      <c r="G357" s="4">
        <v>4</v>
      </c>
      <c r="H357" s="8">
        <f t="shared" si="18"/>
        <v>38</v>
      </c>
      <c r="I357" s="8">
        <f t="shared" si="16"/>
        <v>2</v>
      </c>
      <c r="J357" s="7">
        <f t="shared" si="17"/>
        <v>35</v>
      </c>
      <c r="K357" s="9">
        <v>1991</v>
      </c>
      <c r="L357" s="5">
        <v>2026</v>
      </c>
      <c r="M357" s="7" t="s">
        <v>16</v>
      </c>
    </row>
    <row r="358" spans="1:13" ht="12" customHeight="1" x14ac:dyDescent="0.25">
      <c r="A358" s="4">
        <v>355</v>
      </c>
      <c r="B358" s="5">
        <v>4682</v>
      </c>
      <c r="C358" s="6" t="s">
        <v>333</v>
      </c>
      <c r="D358" s="5">
        <v>30</v>
      </c>
      <c r="E358" s="4"/>
      <c r="F358" s="7"/>
      <c r="G358" s="4">
        <v>4</v>
      </c>
      <c r="H358" s="8">
        <f t="shared" si="18"/>
        <v>28.5</v>
      </c>
      <c r="I358" s="8">
        <f t="shared" si="16"/>
        <v>1.5</v>
      </c>
      <c r="J358" s="7">
        <f t="shared" si="17"/>
        <v>35</v>
      </c>
      <c r="K358" s="5">
        <v>1991</v>
      </c>
      <c r="L358" s="5">
        <v>2026</v>
      </c>
      <c r="M358" s="7" t="s">
        <v>16</v>
      </c>
    </row>
    <row r="359" spans="1:13" ht="12" customHeight="1" x14ac:dyDescent="0.25">
      <c r="A359" s="4">
        <v>356</v>
      </c>
      <c r="B359" s="5">
        <v>4723</v>
      </c>
      <c r="C359" s="6" t="s">
        <v>334</v>
      </c>
      <c r="D359" s="6">
        <v>24.75</v>
      </c>
      <c r="E359" s="4"/>
      <c r="F359" s="7"/>
      <c r="G359" s="4">
        <v>4</v>
      </c>
      <c r="H359" s="8">
        <f t="shared" si="18"/>
        <v>23.512499999999999</v>
      </c>
      <c r="I359" s="8">
        <f t="shared" si="16"/>
        <v>1.2375000000000007</v>
      </c>
      <c r="J359" s="7">
        <f t="shared" si="17"/>
        <v>35</v>
      </c>
      <c r="K359" s="6">
        <v>1991</v>
      </c>
      <c r="L359" s="5">
        <v>2026</v>
      </c>
      <c r="M359" s="7" t="s">
        <v>16</v>
      </c>
    </row>
    <row r="360" spans="1:13" ht="12" customHeight="1" x14ac:dyDescent="0.25">
      <c r="A360" s="4">
        <v>357</v>
      </c>
      <c r="B360" s="5">
        <v>4731</v>
      </c>
      <c r="C360" s="6" t="s">
        <v>335</v>
      </c>
      <c r="D360" s="5">
        <v>45</v>
      </c>
      <c r="E360" s="4"/>
      <c r="F360" s="7"/>
      <c r="G360" s="4">
        <v>4</v>
      </c>
      <c r="H360" s="8">
        <f t="shared" si="18"/>
        <v>42.75</v>
      </c>
      <c r="I360" s="8">
        <f t="shared" si="16"/>
        <v>2.25</v>
      </c>
      <c r="J360" s="7">
        <f t="shared" si="17"/>
        <v>35</v>
      </c>
      <c r="K360" s="5">
        <v>1991</v>
      </c>
      <c r="L360" s="5">
        <v>2026</v>
      </c>
      <c r="M360" s="7" t="s">
        <v>16</v>
      </c>
    </row>
    <row r="361" spans="1:13" ht="12" customHeight="1" x14ac:dyDescent="0.25">
      <c r="A361" s="4">
        <v>358</v>
      </c>
      <c r="B361" s="5">
        <v>4734</v>
      </c>
      <c r="C361" s="6" t="s">
        <v>336</v>
      </c>
      <c r="D361" s="5">
        <v>43.5</v>
      </c>
      <c r="E361" s="4"/>
      <c r="F361" s="7"/>
      <c r="G361" s="4">
        <v>4</v>
      </c>
      <c r="H361" s="8">
        <f t="shared" si="18"/>
        <v>41.324999999999996</v>
      </c>
      <c r="I361" s="8">
        <f t="shared" si="16"/>
        <v>2.1750000000000043</v>
      </c>
      <c r="J361" s="7">
        <f t="shared" si="17"/>
        <v>35</v>
      </c>
      <c r="K361" s="5">
        <v>1991</v>
      </c>
      <c r="L361" s="5">
        <v>2026</v>
      </c>
      <c r="M361" s="7" t="s">
        <v>16</v>
      </c>
    </row>
    <row r="362" spans="1:13" ht="12" customHeight="1" x14ac:dyDescent="0.25">
      <c r="A362" s="4">
        <v>359</v>
      </c>
      <c r="B362" s="5">
        <v>4752</v>
      </c>
      <c r="C362" s="6" t="s">
        <v>337</v>
      </c>
      <c r="D362" s="6">
        <v>62.5</v>
      </c>
      <c r="E362" s="4"/>
      <c r="F362" s="7"/>
      <c r="G362" s="4">
        <v>4</v>
      </c>
      <c r="H362" s="8">
        <f t="shared" si="18"/>
        <v>59.375</v>
      </c>
      <c r="I362" s="8">
        <f t="shared" si="16"/>
        <v>3.125</v>
      </c>
      <c r="J362" s="7">
        <f t="shared" si="17"/>
        <v>35</v>
      </c>
      <c r="K362" s="6">
        <v>1991</v>
      </c>
      <c r="L362" s="5">
        <v>2026</v>
      </c>
      <c r="M362" s="7" t="s">
        <v>16</v>
      </c>
    </row>
    <row r="363" spans="1:13" ht="12" customHeight="1" x14ac:dyDescent="0.25">
      <c r="A363" s="4">
        <v>360</v>
      </c>
      <c r="B363" s="5">
        <v>4770</v>
      </c>
      <c r="C363" s="6" t="s">
        <v>338</v>
      </c>
      <c r="D363" s="5">
        <v>55</v>
      </c>
      <c r="E363" s="4"/>
      <c r="F363" s="7"/>
      <c r="G363" s="4">
        <v>4</v>
      </c>
      <c r="H363" s="8">
        <f t="shared" si="18"/>
        <v>52.25</v>
      </c>
      <c r="I363" s="8">
        <f t="shared" si="16"/>
        <v>2.75</v>
      </c>
      <c r="J363" s="7">
        <f t="shared" si="17"/>
        <v>35</v>
      </c>
      <c r="K363" s="5">
        <v>1991</v>
      </c>
      <c r="L363" s="5">
        <v>2026</v>
      </c>
      <c r="M363" s="7" t="s">
        <v>16</v>
      </c>
    </row>
    <row r="364" spans="1:13" ht="12" customHeight="1" x14ac:dyDescent="0.25">
      <c r="A364" s="4">
        <v>361</v>
      </c>
      <c r="B364" s="5">
        <v>4771</v>
      </c>
      <c r="C364" s="6" t="s">
        <v>339</v>
      </c>
      <c r="D364" s="5">
        <v>98</v>
      </c>
      <c r="E364" s="4"/>
      <c r="F364" s="7"/>
      <c r="G364" s="4">
        <v>4</v>
      </c>
      <c r="H364" s="8">
        <f t="shared" si="18"/>
        <v>93.1</v>
      </c>
      <c r="I364" s="8">
        <f t="shared" si="16"/>
        <v>4.9000000000000057</v>
      </c>
      <c r="J364" s="7">
        <f t="shared" si="17"/>
        <v>35</v>
      </c>
      <c r="K364" s="5">
        <v>1991</v>
      </c>
      <c r="L364" s="5">
        <v>2026</v>
      </c>
      <c r="M364" s="7" t="s">
        <v>16</v>
      </c>
    </row>
    <row r="365" spans="1:13" ht="12" customHeight="1" x14ac:dyDescent="0.25">
      <c r="A365" s="4">
        <v>362</v>
      </c>
      <c r="B365" s="5">
        <v>4773</v>
      </c>
      <c r="C365" s="6" t="s">
        <v>340</v>
      </c>
      <c r="D365" s="5">
        <v>55</v>
      </c>
      <c r="E365" s="4"/>
      <c r="F365" s="7"/>
      <c r="G365" s="4">
        <v>4</v>
      </c>
      <c r="H365" s="8">
        <f t="shared" si="18"/>
        <v>52.25</v>
      </c>
      <c r="I365" s="8">
        <f t="shared" si="16"/>
        <v>2.75</v>
      </c>
      <c r="J365" s="7">
        <f t="shared" si="17"/>
        <v>35</v>
      </c>
      <c r="K365" s="5">
        <v>1991</v>
      </c>
      <c r="L365" s="5">
        <v>2026</v>
      </c>
      <c r="M365" s="7" t="s">
        <v>16</v>
      </c>
    </row>
    <row r="366" spans="1:13" ht="12" customHeight="1" x14ac:dyDescent="0.25">
      <c r="A366" s="4">
        <v>363</v>
      </c>
      <c r="B366" s="5">
        <v>4774</v>
      </c>
      <c r="C366" s="6" t="s">
        <v>341</v>
      </c>
      <c r="D366" s="5">
        <v>55</v>
      </c>
      <c r="E366" s="4"/>
      <c r="F366" s="7"/>
      <c r="G366" s="4">
        <v>4</v>
      </c>
      <c r="H366" s="8">
        <f t="shared" si="18"/>
        <v>52.25</v>
      </c>
      <c r="I366" s="8">
        <f t="shared" si="16"/>
        <v>2.75</v>
      </c>
      <c r="J366" s="7">
        <f t="shared" si="17"/>
        <v>35</v>
      </c>
      <c r="K366" s="5">
        <v>1991</v>
      </c>
      <c r="L366" s="5">
        <v>2026</v>
      </c>
      <c r="M366" s="7" t="s">
        <v>16</v>
      </c>
    </row>
    <row r="367" spans="1:13" ht="12" customHeight="1" x14ac:dyDescent="0.25">
      <c r="A367" s="4">
        <v>364</v>
      </c>
      <c r="B367" s="5">
        <v>4778</v>
      </c>
      <c r="C367" s="6" t="s">
        <v>342</v>
      </c>
      <c r="D367" s="5">
        <v>90</v>
      </c>
      <c r="E367" s="4"/>
      <c r="F367" s="7"/>
      <c r="G367" s="4">
        <v>4</v>
      </c>
      <c r="H367" s="8">
        <f t="shared" si="18"/>
        <v>85.5</v>
      </c>
      <c r="I367" s="8">
        <f t="shared" si="16"/>
        <v>4.5</v>
      </c>
      <c r="J367" s="7">
        <f t="shared" si="17"/>
        <v>35</v>
      </c>
      <c r="K367" s="5">
        <v>1991</v>
      </c>
      <c r="L367" s="5">
        <v>2026</v>
      </c>
      <c r="M367" s="7" t="s">
        <v>16</v>
      </c>
    </row>
    <row r="368" spans="1:13" ht="12" customHeight="1" x14ac:dyDescent="0.25">
      <c r="A368" s="4">
        <v>365</v>
      </c>
      <c r="B368" s="5">
        <v>4782</v>
      </c>
      <c r="C368" s="6" t="s">
        <v>343</v>
      </c>
      <c r="D368" s="5">
        <v>47.5</v>
      </c>
      <c r="E368" s="4"/>
      <c r="F368" s="7"/>
      <c r="G368" s="4">
        <v>4</v>
      </c>
      <c r="H368" s="8">
        <f t="shared" si="18"/>
        <v>45.125</v>
      </c>
      <c r="I368" s="8">
        <f t="shared" si="16"/>
        <v>2.375</v>
      </c>
      <c r="J368" s="7">
        <f t="shared" si="17"/>
        <v>35</v>
      </c>
      <c r="K368" s="5">
        <v>1991</v>
      </c>
      <c r="L368" s="5">
        <v>2026</v>
      </c>
      <c r="M368" s="7" t="s">
        <v>16</v>
      </c>
    </row>
    <row r="369" spans="1:13" ht="12" customHeight="1" x14ac:dyDescent="0.25">
      <c r="A369" s="4">
        <v>366</v>
      </c>
      <c r="B369" s="5">
        <v>4802</v>
      </c>
      <c r="C369" s="6" t="s">
        <v>344</v>
      </c>
      <c r="D369" s="5">
        <v>50</v>
      </c>
      <c r="E369" s="4"/>
      <c r="F369" s="7"/>
      <c r="G369" s="4">
        <v>4</v>
      </c>
      <c r="H369" s="8">
        <f t="shared" si="18"/>
        <v>47.5</v>
      </c>
      <c r="I369" s="8">
        <f t="shared" si="16"/>
        <v>2.5</v>
      </c>
      <c r="J369" s="7">
        <f t="shared" si="17"/>
        <v>35</v>
      </c>
      <c r="K369" s="5">
        <v>1991</v>
      </c>
      <c r="L369" s="5">
        <v>2026</v>
      </c>
      <c r="M369" s="7" t="s">
        <v>16</v>
      </c>
    </row>
    <row r="370" spans="1:13" ht="12" customHeight="1" x14ac:dyDescent="0.25">
      <c r="A370" s="4">
        <v>367</v>
      </c>
      <c r="B370" s="9">
        <v>4835</v>
      </c>
      <c r="C370" s="6" t="s">
        <v>345</v>
      </c>
      <c r="D370" s="6">
        <v>16.75</v>
      </c>
      <c r="E370" s="4"/>
      <c r="F370" s="7"/>
      <c r="G370" s="4">
        <v>4</v>
      </c>
      <c r="H370" s="8">
        <f t="shared" si="18"/>
        <v>15.9125</v>
      </c>
      <c r="I370" s="8">
        <f t="shared" si="16"/>
        <v>0.83750000000000036</v>
      </c>
      <c r="J370" s="7">
        <f t="shared" si="17"/>
        <v>35</v>
      </c>
      <c r="K370" s="6">
        <v>1991</v>
      </c>
      <c r="L370" s="5">
        <v>2026</v>
      </c>
      <c r="M370" s="7" t="s">
        <v>16</v>
      </c>
    </row>
    <row r="371" spans="1:13" ht="12" customHeight="1" x14ac:dyDescent="0.25">
      <c r="A371" s="4">
        <v>368</v>
      </c>
      <c r="B371" s="5">
        <v>4837</v>
      </c>
      <c r="C371" s="6" t="s">
        <v>346</v>
      </c>
      <c r="D371" s="6">
        <v>20</v>
      </c>
      <c r="E371" s="4"/>
      <c r="F371" s="7"/>
      <c r="G371" s="4">
        <v>4</v>
      </c>
      <c r="H371" s="8">
        <f t="shared" si="18"/>
        <v>19</v>
      </c>
      <c r="I371" s="8">
        <f t="shared" si="16"/>
        <v>1</v>
      </c>
      <c r="J371" s="7">
        <f t="shared" si="17"/>
        <v>35</v>
      </c>
      <c r="K371" s="6">
        <v>1991</v>
      </c>
      <c r="L371" s="5">
        <v>2026</v>
      </c>
      <c r="M371" s="7" t="s">
        <v>16</v>
      </c>
    </row>
    <row r="372" spans="1:13" ht="12" customHeight="1" x14ac:dyDescent="0.25">
      <c r="A372" s="4">
        <v>369</v>
      </c>
      <c r="B372" s="9">
        <v>4844</v>
      </c>
      <c r="C372" s="9" t="s">
        <v>347</v>
      </c>
      <c r="D372" s="9">
        <v>10</v>
      </c>
      <c r="E372" s="4"/>
      <c r="F372" s="7"/>
      <c r="G372" s="4">
        <v>4</v>
      </c>
      <c r="H372" s="8">
        <f t="shared" si="18"/>
        <v>9.5</v>
      </c>
      <c r="I372" s="8">
        <f t="shared" si="16"/>
        <v>0.5</v>
      </c>
      <c r="J372" s="7">
        <f t="shared" si="17"/>
        <v>36</v>
      </c>
      <c r="K372" s="9">
        <v>1990</v>
      </c>
      <c r="L372" s="5">
        <v>2026</v>
      </c>
      <c r="M372" s="7" t="s">
        <v>16</v>
      </c>
    </row>
    <row r="373" spans="1:13" ht="12" customHeight="1" x14ac:dyDescent="0.25">
      <c r="A373" s="4">
        <v>370</v>
      </c>
      <c r="B373" s="5">
        <v>4845</v>
      </c>
      <c r="C373" s="6" t="s">
        <v>348</v>
      </c>
      <c r="D373" s="6">
        <v>30</v>
      </c>
      <c r="E373" s="4"/>
      <c r="F373" s="7"/>
      <c r="G373" s="4">
        <v>4</v>
      </c>
      <c r="H373" s="8">
        <f t="shared" si="18"/>
        <v>28.5</v>
      </c>
      <c r="I373" s="8">
        <f t="shared" si="16"/>
        <v>1.5</v>
      </c>
      <c r="J373" s="7">
        <f t="shared" si="17"/>
        <v>35</v>
      </c>
      <c r="K373" s="6">
        <v>1991</v>
      </c>
      <c r="L373" s="5">
        <v>2026</v>
      </c>
      <c r="M373" s="7" t="s">
        <v>16</v>
      </c>
    </row>
    <row r="374" spans="1:13" ht="12" customHeight="1" x14ac:dyDescent="0.25">
      <c r="A374" s="4">
        <v>371</v>
      </c>
      <c r="B374" s="5">
        <v>4850</v>
      </c>
      <c r="C374" s="6" t="s">
        <v>349</v>
      </c>
      <c r="D374" s="5">
        <v>48</v>
      </c>
      <c r="E374" s="4"/>
      <c r="F374" s="7"/>
      <c r="G374" s="4">
        <v>4</v>
      </c>
      <c r="H374" s="8">
        <f t="shared" si="18"/>
        <v>45.599999999999994</v>
      </c>
      <c r="I374" s="8">
        <f t="shared" si="16"/>
        <v>2.4000000000000057</v>
      </c>
      <c r="J374" s="7">
        <f t="shared" si="17"/>
        <v>35</v>
      </c>
      <c r="K374" s="5">
        <v>1991</v>
      </c>
      <c r="L374" s="5">
        <v>2026</v>
      </c>
      <c r="M374" s="7" t="s">
        <v>16</v>
      </c>
    </row>
    <row r="375" spans="1:13" ht="12" customHeight="1" x14ac:dyDescent="0.25">
      <c r="A375" s="4">
        <v>372</v>
      </c>
      <c r="B375" s="5">
        <v>4854</v>
      </c>
      <c r="C375" s="6" t="s">
        <v>350</v>
      </c>
      <c r="D375" s="6">
        <v>40</v>
      </c>
      <c r="E375" s="4"/>
      <c r="F375" s="7"/>
      <c r="G375" s="4">
        <v>4</v>
      </c>
      <c r="H375" s="8">
        <f t="shared" si="18"/>
        <v>38</v>
      </c>
      <c r="I375" s="8">
        <f t="shared" si="16"/>
        <v>2</v>
      </c>
      <c r="J375" s="7">
        <f t="shared" si="17"/>
        <v>35</v>
      </c>
      <c r="K375" s="6">
        <v>1991</v>
      </c>
      <c r="L375" s="5">
        <v>2026</v>
      </c>
      <c r="M375" s="7" t="s">
        <v>16</v>
      </c>
    </row>
    <row r="376" spans="1:13" ht="12" customHeight="1" x14ac:dyDescent="0.25">
      <c r="A376" s="4">
        <v>373</v>
      </c>
      <c r="B376" s="5">
        <v>4878</v>
      </c>
      <c r="C376" s="6" t="s">
        <v>351</v>
      </c>
      <c r="D376" s="6">
        <v>10</v>
      </c>
      <c r="E376" s="4"/>
      <c r="F376" s="7"/>
      <c r="G376" s="4">
        <v>4</v>
      </c>
      <c r="H376" s="8">
        <f t="shared" si="18"/>
        <v>9.5</v>
      </c>
      <c r="I376" s="8">
        <f t="shared" si="16"/>
        <v>0.5</v>
      </c>
      <c r="J376" s="7">
        <f t="shared" si="17"/>
        <v>35</v>
      </c>
      <c r="K376" s="6">
        <v>1991</v>
      </c>
      <c r="L376" s="5">
        <v>2026</v>
      </c>
      <c r="M376" s="7" t="s">
        <v>16</v>
      </c>
    </row>
    <row r="377" spans="1:13" ht="12" customHeight="1" x14ac:dyDescent="0.25">
      <c r="A377" s="4">
        <v>374</v>
      </c>
      <c r="B377" s="5">
        <v>4879</v>
      </c>
      <c r="C377" s="6" t="s">
        <v>352</v>
      </c>
      <c r="D377" s="6">
        <v>10</v>
      </c>
      <c r="E377" s="4"/>
      <c r="F377" s="7"/>
      <c r="G377" s="4">
        <v>4</v>
      </c>
      <c r="H377" s="8">
        <f t="shared" si="18"/>
        <v>9.5</v>
      </c>
      <c r="I377" s="8">
        <f t="shared" si="16"/>
        <v>0.5</v>
      </c>
      <c r="J377" s="7">
        <f t="shared" si="17"/>
        <v>35</v>
      </c>
      <c r="K377" s="6">
        <v>1991</v>
      </c>
      <c r="L377" s="5">
        <v>2026</v>
      </c>
      <c r="M377" s="7" t="s">
        <v>16</v>
      </c>
    </row>
    <row r="378" spans="1:13" ht="12" customHeight="1" x14ac:dyDescent="0.25">
      <c r="A378" s="4">
        <v>375</v>
      </c>
      <c r="B378" s="5">
        <v>4882</v>
      </c>
      <c r="C378" s="6" t="s">
        <v>353</v>
      </c>
      <c r="D378" s="5">
        <v>15</v>
      </c>
      <c r="E378" s="4"/>
      <c r="F378" s="7"/>
      <c r="G378" s="4">
        <v>4</v>
      </c>
      <c r="H378" s="8">
        <f t="shared" si="18"/>
        <v>14.25</v>
      </c>
      <c r="I378" s="8">
        <f t="shared" si="16"/>
        <v>0.75</v>
      </c>
      <c r="J378" s="7">
        <f t="shared" si="17"/>
        <v>35</v>
      </c>
      <c r="K378" s="5">
        <v>1991</v>
      </c>
      <c r="L378" s="5">
        <v>2026</v>
      </c>
      <c r="M378" s="7" t="s">
        <v>16</v>
      </c>
    </row>
    <row r="379" spans="1:13" ht="12" customHeight="1" x14ac:dyDescent="0.25">
      <c r="A379" s="4">
        <v>376</v>
      </c>
      <c r="B379" s="5">
        <v>4884</v>
      </c>
      <c r="C379" s="6" t="s">
        <v>354</v>
      </c>
      <c r="D379" s="6">
        <v>10</v>
      </c>
      <c r="E379" s="4"/>
      <c r="F379" s="7"/>
      <c r="G379" s="4">
        <v>4</v>
      </c>
      <c r="H379" s="8">
        <f t="shared" si="18"/>
        <v>9.5</v>
      </c>
      <c r="I379" s="8">
        <f t="shared" si="16"/>
        <v>0.5</v>
      </c>
      <c r="J379" s="7">
        <f t="shared" si="17"/>
        <v>35</v>
      </c>
      <c r="K379" s="6">
        <v>1991</v>
      </c>
      <c r="L379" s="5">
        <v>2026</v>
      </c>
      <c r="M379" s="7" t="s">
        <v>16</v>
      </c>
    </row>
    <row r="380" spans="1:13" ht="12" customHeight="1" x14ac:dyDescent="0.25">
      <c r="A380" s="4">
        <v>377</v>
      </c>
      <c r="B380" s="6">
        <v>4887</v>
      </c>
      <c r="C380" s="6" t="s">
        <v>355</v>
      </c>
      <c r="D380" s="6">
        <v>25</v>
      </c>
      <c r="E380" s="4"/>
      <c r="F380" s="7"/>
      <c r="G380" s="4">
        <v>4</v>
      </c>
      <c r="H380" s="8">
        <f t="shared" si="18"/>
        <v>23.75</v>
      </c>
      <c r="I380" s="8">
        <f t="shared" si="16"/>
        <v>1.25</v>
      </c>
      <c r="J380" s="7">
        <f t="shared" si="17"/>
        <v>35</v>
      </c>
      <c r="K380" s="6">
        <v>1991</v>
      </c>
      <c r="L380" s="5">
        <v>2026</v>
      </c>
      <c r="M380" s="7" t="s">
        <v>16</v>
      </c>
    </row>
    <row r="381" spans="1:13" ht="12" customHeight="1" x14ac:dyDescent="0.25">
      <c r="A381" s="4">
        <v>378</v>
      </c>
      <c r="B381" s="9">
        <v>4892</v>
      </c>
      <c r="C381" s="9" t="s">
        <v>356</v>
      </c>
      <c r="D381" s="9">
        <v>30</v>
      </c>
      <c r="E381" s="4"/>
      <c r="F381" s="7"/>
      <c r="G381" s="4">
        <v>4</v>
      </c>
      <c r="H381" s="8">
        <f t="shared" si="18"/>
        <v>28.5</v>
      </c>
      <c r="I381" s="8">
        <f t="shared" si="16"/>
        <v>1.5</v>
      </c>
      <c r="J381" s="7">
        <f t="shared" si="17"/>
        <v>35</v>
      </c>
      <c r="K381" s="9">
        <v>1991</v>
      </c>
      <c r="L381" s="5">
        <v>2026</v>
      </c>
      <c r="M381" s="7" t="s">
        <v>16</v>
      </c>
    </row>
    <row r="382" spans="1:13" ht="12" customHeight="1" x14ac:dyDescent="0.25">
      <c r="A382" s="4">
        <v>379</v>
      </c>
      <c r="B382" s="5">
        <v>4898</v>
      </c>
      <c r="C382" s="6" t="s">
        <v>357</v>
      </c>
      <c r="D382" s="5">
        <v>4.25</v>
      </c>
      <c r="E382" s="4"/>
      <c r="F382" s="7"/>
      <c r="G382" s="4">
        <v>4</v>
      </c>
      <c r="H382" s="8">
        <f t="shared" si="18"/>
        <v>4.0374999999999996</v>
      </c>
      <c r="I382" s="8">
        <f t="shared" si="16"/>
        <v>0.21250000000000036</v>
      </c>
      <c r="J382" s="7">
        <f t="shared" si="17"/>
        <v>35</v>
      </c>
      <c r="K382" s="5">
        <v>1991</v>
      </c>
      <c r="L382" s="5">
        <v>2026</v>
      </c>
      <c r="M382" s="7" t="s">
        <v>16</v>
      </c>
    </row>
    <row r="383" spans="1:13" ht="12" customHeight="1" x14ac:dyDescent="0.25">
      <c r="A383" s="4">
        <v>380</v>
      </c>
      <c r="B383" s="6">
        <v>4899</v>
      </c>
      <c r="C383" s="6" t="s">
        <v>358</v>
      </c>
      <c r="D383" s="6">
        <v>25</v>
      </c>
      <c r="E383" s="4"/>
      <c r="F383" s="7"/>
      <c r="G383" s="4">
        <v>4</v>
      </c>
      <c r="H383" s="8">
        <f t="shared" si="18"/>
        <v>23.75</v>
      </c>
      <c r="I383" s="8">
        <f t="shared" si="16"/>
        <v>1.25</v>
      </c>
      <c r="J383" s="7">
        <f t="shared" si="17"/>
        <v>35</v>
      </c>
      <c r="K383" s="6">
        <v>1991</v>
      </c>
      <c r="L383" s="5">
        <v>2026</v>
      </c>
      <c r="M383" s="7" t="s">
        <v>16</v>
      </c>
    </row>
    <row r="384" spans="1:13" ht="12" customHeight="1" x14ac:dyDescent="0.25">
      <c r="A384" s="4">
        <v>381</v>
      </c>
      <c r="B384" s="5">
        <v>4901</v>
      </c>
      <c r="C384" s="6" t="s">
        <v>359</v>
      </c>
      <c r="D384" s="6">
        <v>50</v>
      </c>
      <c r="E384" s="4"/>
      <c r="F384" s="7"/>
      <c r="G384" s="4">
        <v>4</v>
      </c>
      <c r="H384" s="8">
        <f t="shared" si="18"/>
        <v>47.5</v>
      </c>
      <c r="I384" s="8">
        <f t="shared" si="16"/>
        <v>2.5</v>
      </c>
      <c r="J384" s="7">
        <f t="shared" si="17"/>
        <v>35</v>
      </c>
      <c r="K384" s="6">
        <v>1991</v>
      </c>
      <c r="L384" s="5">
        <v>2026</v>
      </c>
      <c r="M384" s="7" t="s">
        <v>16</v>
      </c>
    </row>
    <row r="385" spans="1:13" ht="12" customHeight="1" x14ac:dyDescent="0.25">
      <c r="A385" s="4">
        <v>382</v>
      </c>
      <c r="B385" s="5">
        <v>4912</v>
      </c>
      <c r="C385" s="6" t="s">
        <v>360</v>
      </c>
      <c r="D385" s="5">
        <v>10</v>
      </c>
      <c r="E385" s="4"/>
      <c r="F385" s="7"/>
      <c r="G385" s="4">
        <v>4</v>
      </c>
      <c r="H385" s="8">
        <f t="shared" si="18"/>
        <v>9.5</v>
      </c>
      <c r="I385" s="8">
        <f t="shared" si="16"/>
        <v>0.5</v>
      </c>
      <c r="J385" s="7">
        <f t="shared" si="17"/>
        <v>34</v>
      </c>
      <c r="K385" s="5">
        <v>1992</v>
      </c>
      <c r="L385" s="5">
        <v>2026</v>
      </c>
      <c r="M385" s="7" t="s">
        <v>16</v>
      </c>
    </row>
    <row r="386" spans="1:13" ht="12" customHeight="1" x14ac:dyDescent="0.25">
      <c r="A386" s="4">
        <v>383</v>
      </c>
      <c r="B386" s="5">
        <v>4914</v>
      </c>
      <c r="C386" s="6" t="s">
        <v>361</v>
      </c>
      <c r="D386" s="5">
        <v>10</v>
      </c>
      <c r="E386" s="4"/>
      <c r="F386" s="7"/>
      <c r="G386" s="4">
        <v>4</v>
      </c>
      <c r="H386" s="8">
        <f t="shared" si="18"/>
        <v>9.5</v>
      </c>
      <c r="I386" s="8">
        <f t="shared" si="16"/>
        <v>0.5</v>
      </c>
      <c r="J386" s="7">
        <f t="shared" si="17"/>
        <v>35</v>
      </c>
      <c r="K386" s="5">
        <v>1991</v>
      </c>
      <c r="L386" s="5">
        <v>2026</v>
      </c>
      <c r="M386" s="7" t="s">
        <v>16</v>
      </c>
    </row>
    <row r="387" spans="1:13" ht="12" customHeight="1" x14ac:dyDescent="0.25">
      <c r="A387" s="4">
        <v>384</v>
      </c>
      <c r="B387" s="5">
        <v>4918</v>
      </c>
      <c r="C387" s="6" t="s">
        <v>362</v>
      </c>
      <c r="D387" s="5">
        <v>70</v>
      </c>
      <c r="E387" s="4"/>
      <c r="F387" s="7"/>
      <c r="G387" s="4">
        <v>4</v>
      </c>
      <c r="H387" s="8">
        <f t="shared" si="18"/>
        <v>66.5</v>
      </c>
      <c r="I387" s="8">
        <f t="shared" si="16"/>
        <v>3.5</v>
      </c>
      <c r="J387" s="7">
        <f t="shared" si="17"/>
        <v>35</v>
      </c>
      <c r="K387" s="5">
        <v>1991</v>
      </c>
      <c r="L387" s="5">
        <v>2026</v>
      </c>
      <c r="M387" s="7" t="s">
        <v>16</v>
      </c>
    </row>
    <row r="388" spans="1:13" ht="12" customHeight="1" x14ac:dyDescent="0.25">
      <c r="A388" s="4">
        <v>385</v>
      </c>
      <c r="B388" s="9">
        <v>4932</v>
      </c>
      <c r="C388" s="9" t="s">
        <v>363</v>
      </c>
      <c r="D388" s="9">
        <v>70</v>
      </c>
      <c r="E388" s="4"/>
      <c r="F388" s="7"/>
      <c r="G388" s="4">
        <v>4</v>
      </c>
      <c r="H388" s="8">
        <f t="shared" si="18"/>
        <v>66.5</v>
      </c>
      <c r="I388" s="8">
        <f t="shared" ref="I388:I451" si="19">(D388-H388)</f>
        <v>3.5</v>
      </c>
      <c r="J388" s="7">
        <f t="shared" ref="J388:J451" si="20">(L388-K388)</f>
        <v>34</v>
      </c>
      <c r="K388" s="9">
        <v>1992</v>
      </c>
      <c r="L388" s="5">
        <v>2026</v>
      </c>
      <c r="M388" s="7" t="s">
        <v>16</v>
      </c>
    </row>
    <row r="389" spans="1:13" ht="12" customHeight="1" x14ac:dyDescent="0.25">
      <c r="A389" s="4">
        <v>386</v>
      </c>
      <c r="B389" s="5">
        <v>4974</v>
      </c>
      <c r="C389" s="6" t="s">
        <v>364</v>
      </c>
      <c r="D389" s="5">
        <v>7.75</v>
      </c>
      <c r="E389" s="4"/>
      <c r="F389" s="7"/>
      <c r="G389" s="4">
        <v>4</v>
      </c>
      <c r="H389" s="8">
        <f t="shared" ref="H389:H452" si="21">D389*0.95</f>
        <v>7.3624999999999998</v>
      </c>
      <c r="I389" s="8">
        <f t="shared" si="19"/>
        <v>0.38750000000000018</v>
      </c>
      <c r="J389" s="7">
        <f t="shared" si="20"/>
        <v>34</v>
      </c>
      <c r="K389" s="5">
        <v>1992</v>
      </c>
      <c r="L389" s="5">
        <v>2026</v>
      </c>
      <c r="M389" s="7" t="s">
        <v>16</v>
      </c>
    </row>
    <row r="390" spans="1:13" ht="12" customHeight="1" x14ac:dyDescent="0.25">
      <c r="A390" s="4">
        <v>387</v>
      </c>
      <c r="B390" s="5">
        <v>5025</v>
      </c>
      <c r="C390" s="6" t="s">
        <v>365</v>
      </c>
      <c r="D390" s="6">
        <v>20</v>
      </c>
      <c r="E390" s="4"/>
      <c r="F390" s="7"/>
      <c r="G390" s="4">
        <v>4</v>
      </c>
      <c r="H390" s="8">
        <f t="shared" si="21"/>
        <v>19</v>
      </c>
      <c r="I390" s="8">
        <f t="shared" si="19"/>
        <v>1</v>
      </c>
      <c r="J390" s="7">
        <f t="shared" si="20"/>
        <v>33</v>
      </c>
      <c r="K390" s="6">
        <v>1993</v>
      </c>
      <c r="L390" s="5">
        <v>2026</v>
      </c>
      <c r="M390" s="7" t="s">
        <v>16</v>
      </c>
    </row>
    <row r="391" spans="1:13" ht="12" customHeight="1" x14ac:dyDescent="0.25">
      <c r="A391" s="4">
        <v>388</v>
      </c>
      <c r="B391" s="5">
        <v>5062</v>
      </c>
      <c r="C391" s="6" t="s">
        <v>366</v>
      </c>
      <c r="D391" s="6">
        <v>20</v>
      </c>
      <c r="E391" s="4"/>
      <c r="F391" s="7"/>
      <c r="G391" s="4">
        <v>4</v>
      </c>
      <c r="H391" s="8">
        <f t="shared" si="21"/>
        <v>19</v>
      </c>
      <c r="I391" s="8">
        <f t="shared" si="19"/>
        <v>1</v>
      </c>
      <c r="J391" s="7">
        <f t="shared" si="20"/>
        <v>33</v>
      </c>
      <c r="K391" s="6">
        <v>1993</v>
      </c>
      <c r="L391" s="5">
        <v>2026</v>
      </c>
      <c r="M391" s="7" t="s">
        <v>16</v>
      </c>
    </row>
    <row r="392" spans="1:13" ht="12" customHeight="1" x14ac:dyDescent="0.25">
      <c r="A392" s="4">
        <v>389</v>
      </c>
      <c r="B392" s="5">
        <v>5095</v>
      </c>
      <c r="C392" s="6" t="s">
        <v>367</v>
      </c>
      <c r="D392" s="6">
        <v>16</v>
      </c>
      <c r="E392" s="4"/>
      <c r="F392" s="7"/>
      <c r="G392" s="4">
        <v>4</v>
      </c>
      <c r="H392" s="8">
        <f t="shared" si="21"/>
        <v>15.2</v>
      </c>
      <c r="I392" s="8">
        <f t="shared" si="19"/>
        <v>0.80000000000000071</v>
      </c>
      <c r="J392" s="7">
        <f t="shared" si="20"/>
        <v>33</v>
      </c>
      <c r="K392" s="6">
        <v>1993</v>
      </c>
      <c r="L392" s="5">
        <v>2026</v>
      </c>
      <c r="M392" s="7" t="s">
        <v>16</v>
      </c>
    </row>
    <row r="393" spans="1:13" ht="12" customHeight="1" x14ac:dyDescent="0.25">
      <c r="A393" s="4">
        <v>390</v>
      </c>
      <c r="B393" s="5">
        <v>5103</v>
      </c>
      <c r="C393" s="6" t="s">
        <v>368</v>
      </c>
      <c r="D393" s="5">
        <v>90</v>
      </c>
      <c r="E393" s="4"/>
      <c r="F393" s="7"/>
      <c r="G393" s="4">
        <v>4</v>
      </c>
      <c r="H393" s="8">
        <f t="shared" si="21"/>
        <v>85.5</v>
      </c>
      <c r="I393" s="8">
        <f t="shared" si="19"/>
        <v>4.5</v>
      </c>
      <c r="J393" s="7">
        <f t="shared" si="20"/>
        <v>19</v>
      </c>
      <c r="K393" s="5">
        <v>2007</v>
      </c>
      <c r="L393" s="5">
        <v>2026</v>
      </c>
      <c r="M393" s="7" t="s">
        <v>16</v>
      </c>
    </row>
    <row r="394" spans="1:13" ht="12" customHeight="1" x14ac:dyDescent="0.25">
      <c r="A394" s="4">
        <v>391</v>
      </c>
      <c r="B394" s="5">
        <v>5241</v>
      </c>
      <c r="C394" s="6" t="s">
        <v>369</v>
      </c>
      <c r="D394" s="6">
        <v>33.89</v>
      </c>
      <c r="E394" s="4"/>
      <c r="F394" s="7"/>
      <c r="G394" s="4">
        <v>4</v>
      </c>
      <c r="H394" s="8">
        <f t="shared" si="21"/>
        <v>32.195499999999996</v>
      </c>
      <c r="I394" s="8">
        <f t="shared" si="19"/>
        <v>1.694500000000005</v>
      </c>
      <c r="J394" s="7">
        <f t="shared" si="20"/>
        <v>33</v>
      </c>
      <c r="K394" s="6">
        <v>1993</v>
      </c>
      <c r="L394" s="5">
        <v>2026</v>
      </c>
      <c r="M394" s="7" t="s">
        <v>16</v>
      </c>
    </row>
    <row r="395" spans="1:13" ht="12" customHeight="1" x14ac:dyDescent="0.25">
      <c r="A395" s="4">
        <v>392</v>
      </c>
      <c r="B395" s="5">
        <v>5250</v>
      </c>
      <c r="C395" s="6" t="s">
        <v>370</v>
      </c>
      <c r="D395" s="6">
        <v>33.89</v>
      </c>
      <c r="E395" s="4"/>
      <c r="F395" s="7"/>
      <c r="G395" s="4">
        <v>4</v>
      </c>
      <c r="H395" s="8">
        <f t="shared" si="21"/>
        <v>32.195499999999996</v>
      </c>
      <c r="I395" s="8">
        <f t="shared" si="19"/>
        <v>1.694500000000005</v>
      </c>
      <c r="J395" s="7">
        <f t="shared" si="20"/>
        <v>33</v>
      </c>
      <c r="K395" s="6">
        <v>1993</v>
      </c>
      <c r="L395" s="5">
        <v>2026</v>
      </c>
      <c r="M395" s="7" t="s">
        <v>16</v>
      </c>
    </row>
    <row r="396" spans="1:13" ht="12" customHeight="1" x14ac:dyDescent="0.25">
      <c r="A396" s="4">
        <v>393</v>
      </c>
      <c r="B396" s="5">
        <v>5341</v>
      </c>
      <c r="C396" s="6" t="s">
        <v>371</v>
      </c>
      <c r="D396" s="6">
        <v>30</v>
      </c>
      <c r="E396" s="4"/>
      <c r="F396" s="7"/>
      <c r="G396" s="4">
        <v>4</v>
      </c>
      <c r="H396" s="8">
        <f t="shared" si="21"/>
        <v>28.5</v>
      </c>
      <c r="I396" s="8">
        <f t="shared" si="19"/>
        <v>1.5</v>
      </c>
      <c r="J396" s="7">
        <f t="shared" si="20"/>
        <v>32</v>
      </c>
      <c r="K396" s="6">
        <v>1994</v>
      </c>
      <c r="L396" s="5">
        <v>2026</v>
      </c>
      <c r="M396" s="7" t="s">
        <v>16</v>
      </c>
    </row>
    <row r="397" spans="1:13" ht="12" customHeight="1" x14ac:dyDescent="0.25">
      <c r="A397" s="4">
        <v>394</v>
      </c>
      <c r="B397" s="9">
        <v>5361</v>
      </c>
      <c r="C397" s="9" t="s">
        <v>372</v>
      </c>
      <c r="D397" s="9">
        <v>30</v>
      </c>
      <c r="E397" s="4"/>
      <c r="F397" s="7"/>
      <c r="G397" s="4">
        <v>4</v>
      </c>
      <c r="H397" s="8">
        <f t="shared" si="21"/>
        <v>28.5</v>
      </c>
      <c r="I397" s="8">
        <f t="shared" si="19"/>
        <v>1.5</v>
      </c>
      <c r="J397" s="7">
        <f t="shared" si="20"/>
        <v>32</v>
      </c>
      <c r="K397" s="9">
        <v>1994</v>
      </c>
      <c r="L397" s="5">
        <v>2026</v>
      </c>
      <c r="M397" s="7" t="s">
        <v>16</v>
      </c>
    </row>
    <row r="398" spans="1:13" ht="12" customHeight="1" x14ac:dyDescent="0.25">
      <c r="A398" s="4">
        <v>395</v>
      </c>
      <c r="B398" s="5">
        <v>5384</v>
      </c>
      <c r="C398" s="6" t="s">
        <v>373</v>
      </c>
      <c r="D398" s="5">
        <v>80</v>
      </c>
      <c r="E398" s="4"/>
      <c r="F398" s="7"/>
      <c r="G398" s="4">
        <v>4</v>
      </c>
      <c r="H398" s="8">
        <f t="shared" si="21"/>
        <v>76</v>
      </c>
      <c r="I398" s="8">
        <f t="shared" si="19"/>
        <v>4</v>
      </c>
      <c r="J398" s="7">
        <f t="shared" si="20"/>
        <v>35</v>
      </c>
      <c r="K398" s="5">
        <v>1991</v>
      </c>
      <c r="L398" s="5">
        <v>2026</v>
      </c>
      <c r="M398" s="7" t="s">
        <v>16</v>
      </c>
    </row>
    <row r="399" spans="1:13" ht="12" customHeight="1" x14ac:dyDescent="0.25">
      <c r="A399" s="4">
        <v>396</v>
      </c>
      <c r="B399" s="9">
        <v>5398</v>
      </c>
      <c r="C399" s="9" t="s">
        <v>374</v>
      </c>
      <c r="D399" s="9">
        <v>125</v>
      </c>
      <c r="E399" s="4"/>
      <c r="F399" s="7"/>
      <c r="G399" s="4">
        <v>4</v>
      </c>
      <c r="H399" s="8">
        <f t="shared" si="21"/>
        <v>118.75</v>
      </c>
      <c r="I399" s="8">
        <f t="shared" si="19"/>
        <v>6.25</v>
      </c>
      <c r="J399" s="7">
        <f t="shared" si="20"/>
        <v>35</v>
      </c>
      <c r="K399" s="9">
        <v>1991</v>
      </c>
      <c r="L399" s="5">
        <v>2026</v>
      </c>
      <c r="M399" s="7" t="s">
        <v>16</v>
      </c>
    </row>
    <row r="400" spans="1:13" ht="12" customHeight="1" x14ac:dyDescent="0.25">
      <c r="A400" s="4">
        <v>397</v>
      </c>
      <c r="B400" s="9">
        <v>5401</v>
      </c>
      <c r="C400" s="9" t="s">
        <v>375</v>
      </c>
      <c r="D400" s="9">
        <v>8</v>
      </c>
      <c r="E400" s="4"/>
      <c r="F400" s="7"/>
      <c r="G400" s="4">
        <v>4</v>
      </c>
      <c r="H400" s="8">
        <f t="shared" si="21"/>
        <v>7.6</v>
      </c>
      <c r="I400" s="8">
        <f t="shared" si="19"/>
        <v>0.40000000000000036</v>
      </c>
      <c r="J400" s="7">
        <f t="shared" si="20"/>
        <v>38</v>
      </c>
      <c r="K400" s="9">
        <v>1988</v>
      </c>
      <c r="L400" s="5">
        <v>2026</v>
      </c>
      <c r="M400" s="7" t="s">
        <v>16</v>
      </c>
    </row>
    <row r="401" spans="1:13" ht="12" customHeight="1" x14ac:dyDescent="0.25">
      <c r="A401" s="4">
        <v>398</v>
      </c>
      <c r="B401" s="5">
        <v>5451</v>
      </c>
      <c r="C401" s="6" t="s">
        <v>376</v>
      </c>
      <c r="D401" s="5">
        <v>20</v>
      </c>
      <c r="E401" s="4"/>
      <c r="F401" s="7"/>
      <c r="G401" s="4">
        <v>4</v>
      </c>
      <c r="H401" s="8">
        <f t="shared" si="21"/>
        <v>19</v>
      </c>
      <c r="I401" s="8">
        <f t="shared" si="19"/>
        <v>1</v>
      </c>
      <c r="J401" s="7">
        <f t="shared" si="20"/>
        <v>32</v>
      </c>
      <c r="K401" s="5">
        <v>1994</v>
      </c>
      <c r="L401" s="5">
        <v>2026</v>
      </c>
      <c r="M401" s="7" t="s">
        <v>16</v>
      </c>
    </row>
    <row r="402" spans="1:13" ht="12" customHeight="1" x14ac:dyDescent="0.25">
      <c r="A402" s="4">
        <v>399</v>
      </c>
      <c r="B402" s="5">
        <v>5556</v>
      </c>
      <c r="C402" s="6" t="s">
        <v>377</v>
      </c>
      <c r="D402" s="5">
        <v>20</v>
      </c>
      <c r="E402" s="4"/>
      <c r="F402" s="7"/>
      <c r="G402" s="4">
        <v>4</v>
      </c>
      <c r="H402" s="8">
        <f t="shared" si="21"/>
        <v>19</v>
      </c>
      <c r="I402" s="8">
        <f t="shared" si="19"/>
        <v>1</v>
      </c>
      <c r="J402" s="7">
        <f t="shared" si="20"/>
        <v>82</v>
      </c>
      <c r="K402" s="5">
        <v>1944</v>
      </c>
      <c r="L402" s="5">
        <v>2026</v>
      </c>
      <c r="M402" s="7" t="s">
        <v>16</v>
      </c>
    </row>
    <row r="403" spans="1:13" ht="12" customHeight="1" x14ac:dyDescent="0.25">
      <c r="A403" s="4">
        <v>400</v>
      </c>
      <c r="B403" s="5">
        <v>5677</v>
      </c>
      <c r="C403" s="6" t="s">
        <v>378</v>
      </c>
      <c r="D403" s="6">
        <v>25</v>
      </c>
      <c r="E403" s="4"/>
      <c r="F403" s="7"/>
      <c r="G403" s="4">
        <v>4</v>
      </c>
      <c r="H403" s="8">
        <f t="shared" si="21"/>
        <v>23.75</v>
      </c>
      <c r="I403" s="8">
        <f t="shared" si="19"/>
        <v>1.25</v>
      </c>
      <c r="J403" s="7">
        <f t="shared" si="20"/>
        <v>31</v>
      </c>
      <c r="K403" s="6">
        <v>1995</v>
      </c>
      <c r="L403" s="5">
        <v>2026</v>
      </c>
      <c r="M403" s="7" t="s">
        <v>16</v>
      </c>
    </row>
    <row r="404" spans="1:13" ht="12" customHeight="1" x14ac:dyDescent="0.25">
      <c r="A404" s="4">
        <v>401</v>
      </c>
      <c r="B404" s="5">
        <v>5704</v>
      </c>
      <c r="C404" s="6" t="s">
        <v>379</v>
      </c>
      <c r="D404" s="6">
        <v>22.9</v>
      </c>
      <c r="E404" s="4"/>
      <c r="F404" s="7"/>
      <c r="G404" s="4">
        <v>4</v>
      </c>
      <c r="H404" s="8">
        <f t="shared" si="21"/>
        <v>21.754999999999999</v>
      </c>
      <c r="I404" s="8">
        <f t="shared" si="19"/>
        <v>1.1449999999999996</v>
      </c>
      <c r="J404" s="7">
        <f t="shared" si="20"/>
        <v>31</v>
      </c>
      <c r="K404" s="6">
        <v>1995</v>
      </c>
      <c r="L404" s="5">
        <v>2026</v>
      </c>
      <c r="M404" s="7" t="s">
        <v>16</v>
      </c>
    </row>
    <row r="405" spans="1:13" ht="12" customHeight="1" x14ac:dyDescent="0.25">
      <c r="A405" s="4">
        <v>402</v>
      </c>
      <c r="B405" s="5">
        <v>5705</v>
      </c>
      <c r="C405" s="6" t="s">
        <v>380</v>
      </c>
      <c r="D405" s="6">
        <v>22.9</v>
      </c>
      <c r="E405" s="4"/>
      <c r="F405" s="7"/>
      <c r="G405" s="4">
        <v>4</v>
      </c>
      <c r="H405" s="8">
        <f t="shared" si="21"/>
        <v>21.754999999999999</v>
      </c>
      <c r="I405" s="8">
        <f t="shared" si="19"/>
        <v>1.1449999999999996</v>
      </c>
      <c r="J405" s="7">
        <f t="shared" si="20"/>
        <v>31</v>
      </c>
      <c r="K405" s="6">
        <v>1995</v>
      </c>
      <c r="L405" s="5">
        <v>2026</v>
      </c>
      <c r="M405" s="7" t="s">
        <v>16</v>
      </c>
    </row>
    <row r="406" spans="1:13" ht="12" customHeight="1" x14ac:dyDescent="0.25">
      <c r="A406" s="4">
        <v>403</v>
      </c>
      <c r="B406" s="5">
        <v>5898</v>
      </c>
      <c r="C406" s="6" t="s">
        <v>381</v>
      </c>
      <c r="D406" s="6">
        <v>22.98</v>
      </c>
      <c r="E406" s="4"/>
      <c r="F406" s="7"/>
      <c r="G406" s="4">
        <v>4</v>
      </c>
      <c r="H406" s="8">
        <f t="shared" si="21"/>
        <v>21.831</v>
      </c>
      <c r="I406" s="8">
        <f t="shared" si="19"/>
        <v>1.1490000000000009</v>
      </c>
      <c r="J406" s="7">
        <f t="shared" si="20"/>
        <v>31</v>
      </c>
      <c r="K406" s="6">
        <v>1995</v>
      </c>
      <c r="L406" s="5">
        <v>2026</v>
      </c>
      <c r="M406" s="7" t="s">
        <v>16</v>
      </c>
    </row>
    <row r="407" spans="1:13" ht="12" customHeight="1" x14ac:dyDescent="0.25">
      <c r="A407" s="4">
        <v>404</v>
      </c>
      <c r="B407" s="5">
        <v>5950</v>
      </c>
      <c r="C407" s="6" t="s">
        <v>382</v>
      </c>
      <c r="D407" s="5">
        <v>55</v>
      </c>
      <c r="E407" s="4"/>
      <c r="F407" s="7"/>
      <c r="G407" s="4">
        <v>4</v>
      </c>
      <c r="H407" s="8">
        <f t="shared" si="21"/>
        <v>52.25</v>
      </c>
      <c r="I407" s="8">
        <f t="shared" si="19"/>
        <v>2.75</v>
      </c>
      <c r="J407" s="7">
        <f t="shared" si="20"/>
        <v>31</v>
      </c>
      <c r="K407" s="5">
        <v>1995</v>
      </c>
      <c r="L407" s="5">
        <v>2026</v>
      </c>
      <c r="M407" s="7" t="s">
        <v>16</v>
      </c>
    </row>
    <row r="408" spans="1:13" ht="12" customHeight="1" x14ac:dyDescent="0.25">
      <c r="A408" s="4">
        <v>405</v>
      </c>
      <c r="B408" s="5">
        <v>5951</v>
      </c>
      <c r="C408" s="6" t="s">
        <v>383</v>
      </c>
      <c r="D408" s="6">
        <v>30.5</v>
      </c>
      <c r="E408" s="4"/>
      <c r="F408" s="7"/>
      <c r="G408" s="4">
        <v>4</v>
      </c>
      <c r="H408" s="8">
        <f t="shared" si="21"/>
        <v>28.974999999999998</v>
      </c>
      <c r="I408" s="8">
        <f t="shared" si="19"/>
        <v>1.5250000000000021</v>
      </c>
      <c r="J408" s="7">
        <f t="shared" si="20"/>
        <v>31</v>
      </c>
      <c r="K408" s="6">
        <v>1995</v>
      </c>
      <c r="L408" s="5">
        <v>2026</v>
      </c>
      <c r="M408" s="7" t="s">
        <v>16</v>
      </c>
    </row>
    <row r="409" spans="1:13" ht="12" customHeight="1" x14ac:dyDescent="0.25">
      <c r="A409" s="4">
        <v>406</v>
      </c>
      <c r="B409" s="5">
        <v>5962</v>
      </c>
      <c r="C409" s="6" t="s">
        <v>384</v>
      </c>
      <c r="D409" s="5">
        <v>95</v>
      </c>
      <c r="E409" s="4"/>
      <c r="F409" s="7"/>
      <c r="G409" s="4">
        <v>4</v>
      </c>
      <c r="H409" s="8">
        <f t="shared" si="21"/>
        <v>90.25</v>
      </c>
      <c r="I409" s="8">
        <f t="shared" si="19"/>
        <v>4.75</v>
      </c>
      <c r="J409" s="7">
        <f t="shared" si="20"/>
        <v>31</v>
      </c>
      <c r="K409" s="5">
        <v>1995</v>
      </c>
      <c r="L409" s="5">
        <v>2026</v>
      </c>
      <c r="M409" s="7" t="s">
        <v>16</v>
      </c>
    </row>
    <row r="410" spans="1:13" ht="12" customHeight="1" x14ac:dyDescent="0.25">
      <c r="A410" s="4">
        <v>407</v>
      </c>
      <c r="B410" s="5">
        <v>5963</v>
      </c>
      <c r="C410" s="6" t="s">
        <v>385</v>
      </c>
      <c r="D410" s="5">
        <v>40</v>
      </c>
      <c r="E410" s="4"/>
      <c r="F410" s="7"/>
      <c r="G410" s="4">
        <v>4</v>
      </c>
      <c r="H410" s="8">
        <f t="shared" si="21"/>
        <v>38</v>
      </c>
      <c r="I410" s="8">
        <f t="shared" si="19"/>
        <v>2</v>
      </c>
      <c r="J410" s="7">
        <f t="shared" si="20"/>
        <v>31</v>
      </c>
      <c r="K410" s="5">
        <v>1995</v>
      </c>
      <c r="L410" s="5">
        <v>2026</v>
      </c>
      <c r="M410" s="7" t="s">
        <v>16</v>
      </c>
    </row>
    <row r="411" spans="1:13" ht="12" customHeight="1" x14ac:dyDescent="0.25">
      <c r="A411" s="4">
        <v>408</v>
      </c>
      <c r="B411" s="5">
        <v>6002</v>
      </c>
      <c r="C411" s="6" t="s">
        <v>386</v>
      </c>
      <c r="D411" s="5">
        <v>62.3</v>
      </c>
      <c r="E411" s="4"/>
      <c r="F411" s="7"/>
      <c r="G411" s="4">
        <v>4</v>
      </c>
      <c r="H411" s="8">
        <f t="shared" si="21"/>
        <v>59.184999999999995</v>
      </c>
      <c r="I411" s="8">
        <f t="shared" si="19"/>
        <v>3.115000000000002</v>
      </c>
      <c r="J411" s="7">
        <f t="shared" si="20"/>
        <v>31</v>
      </c>
      <c r="K411" s="5">
        <v>1995</v>
      </c>
      <c r="L411" s="5">
        <v>2026</v>
      </c>
      <c r="M411" s="7" t="s">
        <v>16</v>
      </c>
    </row>
    <row r="412" spans="1:13" ht="12" customHeight="1" x14ac:dyDescent="0.25">
      <c r="A412" s="4">
        <v>409</v>
      </c>
      <c r="B412" s="5">
        <v>6052</v>
      </c>
      <c r="C412" s="6" t="s">
        <v>387</v>
      </c>
      <c r="D412" s="5">
        <v>55</v>
      </c>
      <c r="E412" s="4"/>
      <c r="F412" s="7"/>
      <c r="G412" s="4">
        <v>4</v>
      </c>
      <c r="H412" s="8">
        <f t="shared" si="21"/>
        <v>52.25</v>
      </c>
      <c r="I412" s="8">
        <f t="shared" si="19"/>
        <v>2.75</v>
      </c>
      <c r="J412" s="7">
        <f t="shared" si="20"/>
        <v>31</v>
      </c>
      <c r="K412" s="5">
        <v>1995</v>
      </c>
      <c r="L412" s="5">
        <v>2026</v>
      </c>
      <c r="M412" s="7" t="s">
        <v>16</v>
      </c>
    </row>
    <row r="413" spans="1:13" ht="12" customHeight="1" x14ac:dyDescent="0.25">
      <c r="A413" s="4">
        <v>410</v>
      </c>
      <c r="B413" s="5">
        <v>6053</v>
      </c>
      <c r="C413" s="6" t="s">
        <v>388</v>
      </c>
      <c r="D413" s="6">
        <v>60</v>
      </c>
      <c r="E413" s="4"/>
      <c r="F413" s="7"/>
      <c r="G413" s="4">
        <v>4</v>
      </c>
      <c r="H413" s="8">
        <f t="shared" si="21"/>
        <v>57</v>
      </c>
      <c r="I413" s="8">
        <f t="shared" si="19"/>
        <v>3</v>
      </c>
      <c r="J413" s="7">
        <f t="shared" si="20"/>
        <v>31</v>
      </c>
      <c r="K413" s="6">
        <v>1995</v>
      </c>
      <c r="L413" s="5">
        <v>2026</v>
      </c>
      <c r="M413" s="7" t="s">
        <v>16</v>
      </c>
    </row>
    <row r="414" spans="1:13" ht="12" customHeight="1" x14ac:dyDescent="0.25">
      <c r="A414" s="4">
        <v>411</v>
      </c>
      <c r="B414" s="5">
        <v>6055</v>
      </c>
      <c r="C414" s="6" t="s">
        <v>387</v>
      </c>
      <c r="D414" s="5">
        <v>60</v>
      </c>
      <c r="E414" s="4"/>
      <c r="F414" s="7"/>
      <c r="G414" s="4">
        <v>4</v>
      </c>
      <c r="H414" s="8">
        <f t="shared" si="21"/>
        <v>57</v>
      </c>
      <c r="I414" s="8">
        <f t="shared" si="19"/>
        <v>3</v>
      </c>
      <c r="J414" s="7">
        <f t="shared" si="20"/>
        <v>31</v>
      </c>
      <c r="K414" s="5">
        <v>1995</v>
      </c>
      <c r="L414" s="5">
        <v>2026</v>
      </c>
      <c r="M414" s="7" t="s">
        <v>16</v>
      </c>
    </row>
    <row r="415" spans="1:13" ht="12" customHeight="1" x14ac:dyDescent="0.25">
      <c r="A415" s="4">
        <v>412</v>
      </c>
      <c r="B415" s="6">
        <v>6125</v>
      </c>
      <c r="C415" s="6" t="s">
        <v>389</v>
      </c>
      <c r="D415" s="6">
        <v>16</v>
      </c>
      <c r="E415" s="4"/>
      <c r="F415" s="7"/>
      <c r="G415" s="4">
        <v>4</v>
      </c>
      <c r="H415" s="8">
        <f t="shared" si="21"/>
        <v>15.2</v>
      </c>
      <c r="I415" s="8">
        <f t="shared" si="19"/>
        <v>0.80000000000000071</v>
      </c>
      <c r="J415" s="7">
        <f t="shared" si="20"/>
        <v>30</v>
      </c>
      <c r="K415" s="6">
        <v>1996</v>
      </c>
      <c r="L415" s="5">
        <v>2026</v>
      </c>
      <c r="M415" s="7" t="s">
        <v>16</v>
      </c>
    </row>
    <row r="416" spans="1:13" ht="12" customHeight="1" x14ac:dyDescent="0.25">
      <c r="A416" s="4">
        <v>413</v>
      </c>
      <c r="B416" s="9">
        <v>6136</v>
      </c>
      <c r="C416" s="9" t="s">
        <v>390</v>
      </c>
      <c r="D416" s="9">
        <v>5</v>
      </c>
      <c r="E416" s="4"/>
      <c r="F416" s="7"/>
      <c r="G416" s="4">
        <v>4</v>
      </c>
      <c r="H416" s="8">
        <f t="shared" si="21"/>
        <v>4.75</v>
      </c>
      <c r="I416" s="8">
        <f t="shared" si="19"/>
        <v>0.25</v>
      </c>
      <c r="J416" s="7">
        <f t="shared" si="20"/>
        <v>30</v>
      </c>
      <c r="K416" s="9">
        <v>1996</v>
      </c>
      <c r="L416" s="5">
        <v>2026</v>
      </c>
      <c r="M416" s="7" t="s">
        <v>16</v>
      </c>
    </row>
    <row r="417" spans="1:13" ht="12" customHeight="1" x14ac:dyDescent="0.25">
      <c r="A417" s="4">
        <v>414</v>
      </c>
      <c r="B417" s="6">
        <v>6154</v>
      </c>
      <c r="C417" s="6" t="s">
        <v>391</v>
      </c>
      <c r="D417" s="6">
        <v>7</v>
      </c>
      <c r="E417" s="4"/>
      <c r="F417" s="7"/>
      <c r="G417" s="4">
        <v>4</v>
      </c>
      <c r="H417" s="8">
        <f t="shared" si="21"/>
        <v>6.6499999999999995</v>
      </c>
      <c r="I417" s="8">
        <f t="shared" si="19"/>
        <v>0.35000000000000053</v>
      </c>
      <c r="J417" s="7">
        <f t="shared" si="20"/>
        <v>30</v>
      </c>
      <c r="K417" s="6">
        <v>1996</v>
      </c>
      <c r="L417" s="5">
        <v>2026</v>
      </c>
      <c r="M417" s="7" t="s">
        <v>16</v>
      </c>
    </row>
    <row r="418" spans="1:13" ht="12" customHeight="1" x14ac:dyDescent="0.25">
      <c r="A418" s="4">
        <v>415</v>
      </c>
      <c r="B418" s="9">
        <v>6164</v>
      </c>
      <c r="C418" s="9" t="s">
        <v>392</v>
      </c>
      <c r="D418" s="9">
        <v>4</v>
      </c>
      <c r="E418" s="4"/>
      <c r="F418" s="7"/>
      <c r="G418" s="4">
        <v>4</v>
      </c>
      <c r="H418" s="8">
        <f t="shared" si="21"/>
        <v>3.8</v>
      </c>
      <c r="I418" s="8">
        <f t="shared" si="19"/>
        <v>0.20000000000000018</v>
      </c>
      <c r="J418" s="7">
        <f t="shared" si="20"/>
        <v>30</v>
      </c>
      <c r="K418" s="9">
        <v>1996</v>
      </c>
      <c r="L418" s="5">
        <v>2026</v>
      </c>
      <c r="M418" s="7" t="s">
        <v>16</v>
      </c>
    </row>
    <row r="419" spans="1:13" ht="12" customHeight="1" x14ac:dyDescent="0.25">
      <c r="A419" s="4">
        <v>416</v>
      </c>
      <c r="B419" s="5">
        <v>6183</v>
      </c>
      <c r="C419" s="6" t="s">
        <v>393</v>
      </c>
      <c r="D419" s="5">
        <v>6</v>
      </c>
      <c r="E419" s="4"/>
      <c r="F419" s="7"/>
      <c r="G419" s="4">
        <v>4</v>
      </c>
      <c r="H419" s="8">
        <f t="shared" si="21"/>
        <v>5.6999999999999993</v>
      </c>
      <c r="I419" s="8">
        <f t="shared" si="19"/>
        <v>0.30000000000000071</v>
      </c>
      <c r="J419" s="7">
        <f t="shared" si="20"/>
        <v>30</v>
      </c>
      <c r="K419" s="5">
        <v>1996</v>
      </c>
      <c r="L419" s="5">
        <v>2026</v>
      </c>
      <c r="M419" s="7" t="s">
        <v>16</v>
      </c>
    </row>
    <row r="420" spans="1:13" ht="12" customHeight="1" x14ac:dyDescent="0.25">
      <c r="A420" s="4">
        <v>417</v>
      </c>
      <c r="B420" s="5">
        <v>6193</v>
      </c>
      <c r="C420" s="6" t="s">
        <v>394</v>
      </c>
      <c r="D420" s="6">
        <v>5</v>
      </c>
      <c r="E420" s="4"/>
      <c r="F420" s="7"/>
      <c r="G420" s="4">
        <v>4</v>
      </c>
      <c r="H420" s="8">
        <f t="shared" si="21"/>
        <v>4.75</v>
      </c>
      <c r="I420" s="8">
        <f t="shared" si="19"/>
        <v>0.25</v>
      </c>
      <c r="J420" s="7">
        <f t="shared" si="20"/>
        <v>30</v>
      </c>
      <c r="K420" s="6">
        <v>1996</v>
      </c>
      <c r="L420" s="5">
        <v>2026</v>
      </c>
      <c r="M420" s="7" t="s">
        <v>16</v>
      </c>
    </row>
    <row r="421" spans="1:13" ht="12" customHeight="1" x14ac:dyDescent="0.25">
      <c r="A421" s="4">
        <v>418</v>
      </c>
      <c r="B421" s="5">
        <v>6233</v>
      </c>
      <c r="C421" s="6" t="s">
        <v>395</v>
      </c>
      <c r="D421" s="5">
        <v>27</v>
      </c>
      <c r="E421" s="4"/>
      <c r="F421" s="7"/>
      <c r="G421" s="4">
        <v>4</v>
      </c>
      <c r="H421" s="8">
        <f t="shared" si="21"/>
        <v>25.65</v>
      </c>
      <c r="I421" s="8">
        <f t="shared" si="19"/>
        <v>1.3500000000000014</v>
      </c>
      <c r="J421" s="7">
        <f t="shared" si="20"/>
        <v>30</v>
      </c>
      <c r="K421" s="5">
        <v>1996</v>
      </c>
      <c r="L421" s="5">
        <v>2026</v>
      </c>
      <c r="M421" s="7" t="s">
        <v>16</v>
      </c>
    </row>
    <row r="422" spans="1:13" ht="12" customHeight="1" x14ac:dyDescent="0.25">
      <c r="A422" s="4">
        <v>419</v>
      </c>
      <c r="B422" s="6">
        <v>6361</v>
      </c>
      <c r="C422" s="6" t="s">
        <v>396</v>
      </c>
      <c r="D422" s="6">
        <v>30</v>
      </c>
      <c r="E422" s="4"/>
      <c r="F422" s="7"/>
      <c r="G422" s="4">
        <v>4</v>
      </c>
      <c r="H422" s="8">
        <f t="shared" si="21"/>
        <v>28.5</v>
      </c>
      <c r="I422" s="8">
        <f t="shared" si="19"/>
        <v>1.5</v>
      </c>
      <c r="J422" s="7">
        <f t="shared" si="20"/>
        <v>30</v>
      </c>
      <c r="K422" s="6">
        <v>1996</v>
      </c>
      <c r="L422" s="5">
        <v>2026</v>
      </c>
      <c r="M422" s="7" t="s">
        <v>16</v>
      </c>
    </row>
    <row r="423" spans="1:13" ht="12" customHeight="1" x14ac:dyDescent="0.25">
      <c r="A423" s="4">
        <v>420</v>
      </c>
      <c r="B423" s="5">
        <v>6368</v>
      </c>
      <c r="C423" s="6" t="s">
        <v>397</v>
      </c>
      <c r="D423" s="5">
        <v>20</v>
      </c>
      <c r="E423" s="4"/>
      <c r="F423" s="7"/>
      <c r="G423" s="4">
        <v>4</v>
      </c>
      <c r="H423" s="8">
        <f t="shared" si="21"/>
        <v>19</v>
      </c>
      <c r="I423" s="8">
        <f t="shared" si="19"/>
        <v>1</v>
      </c>
      <c r="J423" s="7">
        <f t="shared" si="20"/>
        <v>30</v>
      </c>
      <c r="K423" s="5">
        <v>1996</v>
      </c>
      <c r="L423" s="5">
        <v>2026</v>
      </c>
      <c r="M423" s="7" t="s">
        <v>16</v>
      </c>
    </row>
    <row r="424" spans="1:13" ht="12" customHeight="1" x14ac:dyDescent="0.25">
      <c r="A424" s="4">
        <v>421</v>
      </c>
      <c r="B424" s="5">
        <v>6379</v>
      </c>
      <c r="C424" s="6" t="s">
        <v>398</v>
      </c>
      <c r="D424" s="5">
        <v>15</v>
      </c>
      <c r="E424" s="4"/>
      <c r="F424" s="7"/>
      <c r="G424" s="4">
        <v>4</v>
      </c>
      <c r="H424" s="8">
        <f t="shared" si="21"/>
        <v>14.25</v>
      </c>
      <c r="I424" s="8">
        <f t="shared" si="19"/>
        <v>0.75</v>
      </c>
      <c r="J424" s="7">
        <f t="shared" si="20"/>
        <v>30</v>
      </c>
      <c r="K424" s="5">
        <v>1996</v>
      </c>
      <c r="L424" s="5">
        <v>2026</v>
      </c>
      <c r="M424" s="7" t="s">
        <v>16</v>
      </c>
    </row>
    <row r="425" spans="1:13" ht="12" customHeight="1" x14ac:dyDescent="0.25">
      <c r="A425" s="4">
        <v>422</v>
      </c>
      <c r="B425" s="5">
        <v>6426</v>
      </c>
      <c r="C425" s="6" t="s">
        <v>399</v>
      </c>
      <c r="D425" s="5">
        <v>75</v>
      </c>
      <c r="E425" s="4"/>
      <c r="F425" s="7"/>
      <c r="G425" s="4">
        <v>4</v>
      </c>
      <c r="H425" s="8">
        <f t="shared" si="21"/>
        <v>71.25</v>
      </c>
      <c r="I425" s="8">
        <f t="shared" si="19"/>
        <v>3.75</v>
      </c>
      <c r="J425" s="7">
        <f t="shared" si="20"/>
        <v>30</v>
      </c>
      <c r="K425" s="5">
        <v>1996</v>
      </c>
      <c r="L425" s="5">
        <v>2026</v>
      </c>
      <c r="M425" s="7" t="s">
        <v>16</v>
      </c>
    </row>
    <row r="426" spans="1:13" ht="12" customHeight="1" x14ac:dyDescent="0.25">
      <c r="A426" s="4">
        <v>423</v>
      </c>
      <c r="B426" s="5">
        <v>6437</v>
      </c>
      <c r="C426" s="6" t="s">
        <v>400</v>
      </c>
      <c r="D426" s="6">
        <v>50</v>
      </c>
      <c r="E426" s="4"/>
      <c r="F426" s="7"/>
      <c r="G426" s="4">
        <v>4</v>
      </c>
      <c r="H426" s="8">
        <f t="shared" si="21"/>
        <v>47.5</v>
      </c>
      <c r="I426" s="8">
        <f t="shared" si="19"/>
        <v>2.5</v>
      </c>
      <c r="J426" s="7">
        <f t="shared" si="20"/>
        <v>30</v>
      </c>
      <c r="K426" s="6">
        <v>1996</v>
      </c>
      <c r="L426" s="5">
        <v>2026</v>
      </c>
      <c r="M426" s="7" t="s">
        <v>16</v>
      </c>
    </row>
    <row r="427" spans="1:13" ht="12" customHeight="1" x14ac:dyDescent="0.25">
      <c r="A427" s="4">
        <v>424</v>
      </c>
      <c r="B427" s="5">
        <v>6438</v>
      </c>
      <c r="C427" s="6" t="s">
        <v>401</v>
      </c>
      <c r="D427" s="6">
        <v>40</v>
      </c>
      <c r="E427" s="4"/>
      <c r="F427" s="7"/>
      <c r="G427" s="4">
        <v>4</v>
      </c>
      <c r="H427" s="8">
        <f t="shared" si="21"/>
        <v>38</v>
      </c>
      <c r="I427" s="8">
        <f t="shared" si="19"/>
        <v>2</v>
      </c>
      <c r="J427" s="7">
        <f t="shared" si="20"/>
        <v>30</v>
      </c>
      <c r="K427" s="6">
        <v>1996</v>
      </c>
      <c r="L427" s="5">
        <v>2026</v>
      </c>
      <c r="M427" s="7" t="s">
        <v>16</v>
      </c>
    </row>
    <row r="428" spans="1:13" ht="12" customHeight="1" x14ac:dyDescent="0.25">
      <c r="A428" s="4">
        <v>425</v>
      </c>
      <c r="B428" s="5">
        <v>6491</v>
      </c>
      <c r="C428" s="6" t="s">
        <v>402</v>
      </c>
      <c r="D428" s="6">
        <v>15</v>
      </c>
      <c r="E428" s="4"/>
      <c r="F428" s="7"/>
      <c r="G428" s="4">
        <v>4</v>
      </c>
      <c r="H428" s="8">
        <f t="shared" si="21"/>
        <v>14.25</v>
      </c>
      <c r="I428" s="8">
        <f t="shared" si="19"/>
        <v>0.75</v>
      </c>
      <c r="J428" s="7">
        <f t="shared" si="20"/>
        <v>30</v>
      </c>
      <c r="K428" s="6">
        <v>1996</v>
      </c>
      <c r="L428" s="5">
        <v>2026</v>
      </c>
      <c r="M428" s="7" t="s">
        <v>16</v>
      </c>
    </row>
    <row r="429" spans="1:13" ht="12" customHeight="1" x14ac:dyDescent="0.25">
      <c r="A429" s="4">
        <v>426</v>
      </c>
      <c r="B429" s="5">
        <v>6499</v>
      </c>
      <c r="C429" s="6" t="s">
        <v>403</v>
      </c>
      <c r="D429" s="6">
        <v>23</v>
      </c>
      <c r="E429" s="4"/>
      <c r="F429" s="7"/>
      <c r="G429" s="4">
        <v>4</v>
      </c>
      <c r="H429" s="8">
        <f t="shared" si="21"/>
        <v>21.849999999999998</v>
      </c>
      <c r="I429" s="8">
        <f t="shared" si="19"/>
        <v>1.1500000000000021</v>
      </c>
      <c r="J429" s="7">
        <f t="shared" si="20"/>
        <v>30</v>
      </c>
      <c r="K429" s="6">
        <v>1996</v>
      </c>
      <c r="L429" s="5">
        <v>2026</v>
      </c>
      <c r="M429" s="7" t="s">
        <v>16</v>
      </c>
    </row>
    <row r="430" spans="1:13" ht="12" customHeight="1" x14ac:dyDescent="0.25">
      <c r="A430" s="4">
        <v>427</v>
      </c>
      <c r="B430" s="5">
        <v>6512</v>
      </c>
      <c r="C430" s="6" t="s">
        <v>404</v>
      </c>
      <c r="D430" s="5">
        <v>90</v>
      </c>
      <c r="E430" s="4"/>
      <c r="F430" s="7"/>
      <c r="G430" s="4">
        <v>4</v>
      </c>
      <c r="H430" s="8">
        <f t="shared" si="21"/>
        <v>85.5</v>
      </c>
      <c r="I430" s="8">
        <f t="shared" si="19"/>
        <v>4.5</v>
      </c>
      <c r="J430" s="7">
        <f t="shared" si="20"/>
        <v>29</v>
      </c>
      <c r="K430" s="5">
        <v>1997</v>
      </c>
      <c r="L430" s="5">
        <v>2026</v>
      </c>
      <c r="M430" s="7" t="s">
        <v>16</v>
      </c>
    </row>
    <row r="431" spans="1:13" ht="12" customHeight="1" x14ac:dyDescent="0.25">
      <c r="A431" s="4">
        <v>428</v>
      </c>
      <c r="B431" s="5">
        <v>6513</v>
      </c>
      <c r="C431" s="6" t="s">
        <v>404</v>
      </c>
      <c r="D431" s="5">
        <v>90</v>
      </c>
      <c r="E431" s="4"/>
      <c r="F431" s="7"/>
      <c r="G431" s="4">
        <v>4</v>
      </c>
      <c r="H431" s="8">
        <f t="shared" si="21"/>
        <v>85.5</v>
      </c>
      <c r="I431" s="8">
        <f t="shared" si="19"/>
        <v>4.5</v>
      </c>
      <c r="J431" s="7">
        <f t="shared" si="20"/>
        <v>29</v>
      </c>
      <c r="K431" s="5">
        <v>1997</v>
      </c>
      <c r="L431" s="5">
        <v>2026</v>
      </c>
      <c r="M431" s="7" t="s">
        <v>16</v>
      </c>
    </row>
    <row r="432" spans="1:13" ht="12" customHeight="1" x14ac:dyDescent="0.25">
      <c r="A432" s="4">
        <v>429</v>
      </c>
      <c r="B432" s="5">
        <v>6564</v>
      </c>
      <c r="C432" s="6" t="s">
        <v>405</v>
      </c>
      <c r="D432" s="5">
        <v>84</v>
      </c>
      <c r="E432" s="4"/>
      <c r="F432" s="7"/>
      <c r="G432" s="4">
        <v>4</v>
      </c>
      <c r="H432" s="8">
        <f t="shared" si="21"/>
        <v>79.8</v>
      </c>
      <c r="I432" s="8">
        <f t="shared" si="19"/>
        <v>4.2000000000000028</v>
      </c>
      <c r="J432" s="7">
        <f t="shared" si="20"/>
        <v>29</v>
      </c>
      <c r="K432" s="5">
        <v>1997</v>
      </c>
      <c r="L432" s="5">
        <v>2026</v>
      </c>
      <c r="M432" s="7" t="s">
        <v>16</v>
      </c>
    </row>
    <row r="433" spans="1:13" ht="12" customHeight="1" x14ac:dyDescent="0.25">
      <c r="A433" s="4">
        <v>430</v>
      </c>
      <c r="B433" s="5">
        <v>6613</v>
      </c>
      <c r="C433" s="6" t="s">
        <v>406</v>
      </c>
      <c r="D433" s="5">
        <v>55</v>
      </c>
      <c r="E433" s="4"/>
      <c r="F433" s="7"/>
      <c r="G433" s="4">
        <v>4</v>
      </c>
      <c r="H433" s="8">
        <f t="shared" si="21"/>
        <v>52.25</v>
      </c>
      <c r="I433" s="8">
        <f t="shared" si="19"/>
        <v>2.75</v>
      </c>
      <c r="J433" s="7">
        <f t="shared" si="20"/>
        <v>29</v>
      </c>
      <c r="K433" s="5">
        <v>1997</v>
      </c>
      <c r="L433" s="5">
        <v>2026</v>
      </c>
      <c r="M433" s="7" t="s">
        <v>16</v>
      </c>
    </row>
    <row r="434" spans="1:13" ht="12" customHeight="1" x14ac:dyDescent="0.25">
      <c r="A434" s="4">
        <v>431</v>
      </c>
      <c r="B434" s="5">
        <v>6615</v>
      </c>
      <c r="C434" s="6" t="s">
        <v>407</v>
      </c>
      <c r="D434" s="6">
        <v>130</v>
      </c>
      <c r="E434" s="4"/>
      <c r="F434" s="7"/>
      <c r="G434" s="4">
        <v>4</v>
      </c>
      <c r="H434" s="8">
        <f t="shared" si="21"/>
        <v>123.5</v>
      </c>
      <c r="I434" s="8">
        <f t="shared" si="19"/>
        <v>6.5</v>
      </c>
      <c r="J434" s="7">
        <f t="shared" si="20"/>
        <v>29</v>
      </c>
      <c r="K434" s="6">
        <v>1997</v>
      </c>
      <c r="L434" s="5">
        <v>2026</v>
      </c>
      <c r="M434" s="7" t="s">
        <v>16</v>
      </c>
    </row>
    <row r="435" spans="1:13" ht="12" customHeight="1" x14ac:dyDescent="0.25">
      <c r="A435" s="4">
        <v>432</v>
      </c>
      <c r="B435" s="5">
        <v>6651</v>
      </c>
      <c r="C435" s="6" t="s">
        <v>408</v>
      </c>
      <c r="D435" s="6">
        <v>15</v>
      </c>
      <c r="E435" s="4"/>
      <c r="F435" s="7"/>
      <c r="G435" s="4">
        <v>4</v>
      </c>
      <c r="H435" s="8">
        <f t="shared" si="21"/>
        <v>14.25</v>
      </c>
      <c r="I435" s="8">
        <f t="shared" si="19"/>
        <v>0.75</v>
      </c>
      <c r="J435" s="7">
        <f t="shared" si="20"/>
        <v>29</v>
      </c>
      <c r="K435" s="6">
        <v>1997</v>
      </c>
      <c r="L435" s="5">
        <v>2026</v>
      </c>
      <c r="M435" s="7" t="s">
        <v>16</v>
      </c>
    </row>
    <row r="436" spans="1:13" ht="12" customHeight="1" x14ac:dyDescent="0.25">
      <c r="A436" s="4">
        <v>433</v>
      </c>
      <c r="B436" s="5">
        <v>6653</v>
      </c>
      <c r="C436" s="6" t="s">
        <v>408</v>
      </c>
      <c r="D436" s="5">
        <v>15</v>
      </c>
      <c r="E436" s="4"/>
      <c r="F436" s="7"/>
      <c r="G436" s="4">
        <v>4</v>
      </c>
      <c r="H436" s="8">
        <f t="shared" si="21"/>
        <v>14.25</v>
      </c>
      <c r="I436" s="8">
        <f t="shared" si="19"/>
        <v>0.75</v>
      </c>
      <c r="J436" s="7">
        <f t="shared" si="20"/>
        <v>29</v>
      </c>
      <c r="K436" s="5">
        <v>1997</v>
      </c>
      <c r="L436" s="5">
        <v>2026</v>
      </c>
      <c r="M436" s="7" t="s">
        <v>16</v>
      </c>
    </row>
    <row r="437" spans="1:13" ht="12" customHeight="1" x14ac:dyDescent="0.25">
      <c r="A437" s="4">
        <v>434</v>
      </c>
      <c r="B437" s="6">
        <v>6655</v>
      </c>
      <c r="C437" s="6" t="s">
        <v>408</v>
      </c>
      <c r="D437" s="6">
        <v>15</v>
      </c>
      <c r="E437" s="4"/>
      <c r="F437" s="7"/>
      <c r="G437" s="4">
        <v>4</v>
      </c>
      <c r="H437" s="8">
        <f t="shared" si="21"/>
        <v>14.25</v>
      </c>
      <c r="I437" s="8">
        <f t="shared" si="19"/>
        <v>0.75</v>
      </c>
      <c r="J437" s="7">
        <f t="shared" si="20"/>
        <v>29</v>
      </c>
      <c r="K437" s="6">
        <v>1997</v>
      </c>
      <c r="L437" s="5">
        <v>2026</v>
      </c>
      <c r="M437" s="7" t="s">
        <v>16</v>
      </c>
    </row>
    <row r="438" spans="1:13" ht="12" customHeight="1" x14ac:dyDescent="0.25">
      <c r="A438" s="4">
        <v>435</v>
      </c>
      <c r="B438" s="5">
        <v>6667</v>
      </c>
      <c r="C438" s="6" t="s">
        <v>409</v>
      </c>
      <c r="D438" s="5">
        <v>60</v>
      </c>
      <c r="E438" s="4"/>
      <c r="F438" s="7"/>
      <c r="G438" s="4">
        <v>4</v>
      </c>
      <c r="H438" s="8">
        <f t="shared" si="21"/>
        <v>57</v>
      </c>
      <c r="I438" s="8">
        <f t="shared" si="19"/>
        <v>3</v>
      </c>
      <c r="J438" s="7">
        <f t="shared" si="20"/>
        <v>29</v>
      </c>
      <c r="K438" s="5">
        <v>1997</v>
      </c>
      <c r="L438" s="5">
        <v>2026</v>
      </c>
      <c r="M438" s="7" t="s">
        <v>16</v>
      </c>
    </row>
    <row r="439" spans="1:13" ht="12" customHeight="1" x14ac:dyDescent="0.25">
      <c r="A439" s="4">
        <v>436</v>
      </c>
      <c r="B439" s="5">
        <v>6687</v>
      </c>
      <c r="C439" s="6" t="s">
        <v>410</v>
      </c>
      <c r="D439" s="6">
        <v>15</v>
      </c>
      <c r="E439" s="4"/>
      <c r="F439" s="7"/>
      <c r="G439" s="4">
        <v>4</v>
      </c>
      <c r="H439" s="8">
        <f t="shared" si="21"/>
        <v>14.25</v>
      </c>
      <c r="I439" s="8">
        <f t="shared" si="19"/>
        <v>0.75</v>
      </c>
      <c r="J439" s="7">
        <f t="shared" si="20"/>
        <v>29</v>
      </c>
      <c r="K439" s="6">
        <v>1997</v>
      </c>
      <c r="L439" s="5">
        <v>2026</v>
      </c>
      <c r="M439" s="7" t="s">
        <v>16</v>
      </c>
    </row>
    <row r="440" spans="1:13" ht="12" customHeight="1" x14ac:dyDescent="0.25">
      <c r="A440" s="4">
        <v>437</v>
      </c>
      <c r="B440" s="5">
        <v>6751</v>
      </c>
      <c r="C440" s="6" t="s">
        <v>411</v>
      </c>
      <c r="D440" s="5">
        <v>95</v>
      </c>
      <c r="E440" s="4"/>
      <c r="F440" s="7"/>
      <c r="G440" s="4">
        <v>4</v>
      </c>
      <c r="H440" s="8">
        <f t="shared" si="21"/>
        <v>90.25</v>
      </c>
      <c r="I440" s="8">
        <f t="shared" si="19"/>
        <v>4.75</v>
      </c>
      <c r="J440" s="7">
        <f t="shared" si="20"/>
        <v>28</v>
      </c>
      <c r="K440" s="5">
        <v>1998</v>
      </c>
      <c r="L440" s="5">
        <v>2026</v>
      </c>
      <c r="M440" s="7" t="s">
        <v>16</v>
      </c>
    </row>
    <row r="441" spans="1:13" ht="12" customHeight="1" x14ac:dyDescent="0.25">
      <c r="A441" s="4">
        <v>438</v>
      </c>
      <c r="B441" s="5">
        <v>6775</v>
      </c>
      <c r="C441" s="6" t="s">
        <v>412</v>
      </c>
      <c r="D441" s="6">
        <v>10</v>
      </c>
      <c r="E441" s="4"/>
      <c r="F441" s="7"/>
      <c r="G441" s="4">
        <v>4</v>
      </c>
      <c r="H441" s="8">
        <f t="shared" si="21"/>
        <v>9.5</v>
      </c>
      <c r="I441" s="8">
        <f t="shared" si="19"/>
        <v>0.5</v>
      </c>
      <c r="J441" s="7">
        <f t="shared" si="20"/>
        <v>28</v>
      </c>
      <c r="K441" s="6">
        <v>1998</v>
      </c>
      <c r="L441" s="5">
        <v>2026</v>
      </c>
      <c r="M441" s="7" t="s">
        <v>16</v>
      </c>
    </row>
    <row r="442" spans="1:13" ht="12" customHeight="1" x14ac:dyDescent="0.25">
      <c r="A442" s="4">
        <v>439</v>
      </c>
      <c r="B442" s="5">
        <v>6806</v>
      </c>
      <c r="C442" s="6" t="s">
        <v>413</v>
      </c>
      <c r="D442" s="5">
        <v>56</v>
      </c>
      <c r="E442" s="4"/>
      <c r="F442" s="7"/>
      <c r="G442" s="4">
        <v>4</v>
      </c>
      <c r="H442" s="8">
        <f t="shared" si="21"/>
        <v>53.199999999999996</v>
      </c>
      <c r="I442" s="8">
        <f t="shared" si="19"/>
        <v>2.8000000000000043</v>
      </c>
      <c r="J442" s="7">
        <f t="shared" si="20"/>
        <v>28</v>
      </c>
      <c r="K442" s="5">
        <v>1998</v>
      </c>
      <c r="L442" s="5">
        <v>2026</v>
      </c>
      <c r="M442" s="7" t="s">
        <v>16</v>
      </c>
    </row>
    <row r="443" spans="1:13" ht="12" customHeight="1" x14ac:dyDescent="0.25">
      <c r="A443" s="4">
        <v>440</v>
      </c>
      <c r="B443" s="5">
        <v>6851</v>
      </c>
      <c r="C443" s="6" t="s">
        <v>414</v>
      </c>
      <c r="D443" s="6">
        <v>75</v>
      </c>
      <c r="E443" s="4"/>
      <c r="F443" s="7"/>
      <c r="G443" s="4">
        <v>4</v>
      </c>
      <c r="H443" s="8">
        <f t="shared" si="21"/>
        <v>71.25</v>
      </c>
      <c r="I443" s="8">
        <f t="shared" si="19"/>
        <v>3.75</v>
      </c>
      <c r="J443" s="7">
        <f t="shared" si="20"/>
        <v>28</v>
      </c>
      <c r="K443" s="6">
        <v>1998</v>
      </c>
      <c r="L443" s="5">
        <v>2026</v>
      </c>
      <c r="M443" s="7" t="s">
        <v>16</v>
      </c>
    </row>
    <row r="444" spans="1:13" ht="12" customHeight="1" x14ac:dyDescent="0.25">
      <c r="A444" s="4">
        <v>441</v>
      </c>
      <c r="B444" s="5">
        <v>6883</v>
      </c>
      <c r="C444" s="6" t="s">
        <v>415</v>
      </c>
      <c r="D444" s="6">
        <v>30</v>
      </c>
      <c r="E444" s="4"/>
      <c r="F444" s="7"/>
      <c r="G444" s="4">
        <v>4</v>
      </c>
      <c r="H444" s="8">
        <f t="shared" si="21"/>
        <v>28.5</v>
      </c>
      <c r="I444" s="8">
        <f t="shared" si="19"/>
        <v>1.5</v>
      </c>
      <c r="J444" s="7">
        <f t="shared" si="20"/>
        <v>28</v>
      </c>
      <c r="K444" s="6">
        <v>1998</v>
      </c>
      <c r="L444" s="5">
        <v>2026</v>
      </c>
      <c r="M444" s="7" t="s">
        <v>16</v>
      </c>
    </row>
    <row r="445" spans="1:13" ht="12" customHeight="1" x14ac:dyDescent="0.25">
      <c r="A445" s="4">
        <v>442</v>
      </c>
      <c r="B445" s="5">
        <v>6889</v>
      </c>
      <c r="C445" s="6" t="s">
        <v>416</v>
      </c>
      <c r="D445" s="5">
        <v>25</v>
      </c>
      <c r="E445" s="4"/>
      <c r="F445" s="7"/>
      <c r="G445" s="4">
        <v>4</v>
      </c>
      <c r="H445" s="8">
        <f t="shared" si="21"/>
        <v>23.75</v>
      </c>
      <c r="I445" s="8">
        <f t="shared" si="19"/>
        <v>1.25</v>
      </c>
      <c r="J445" s="7">
        <f t="shared" si="20"/>
        <v>28</v>
      </c>
      <c r="K445" s="5">
        <v>1998</v>
      </c>
      <c r="L445" s="5">
        <v>2026</v>
      </c>
      <c r="M445" s="7" t="s">
        <v>16</v>
      </c>
    </row>
    <row r="446" spans="1:13" ht="12" customHeight="1" x14ac:dyDescent="0.25">
      <c r="A446" s="4">
        <v>443</v>
      </c>
      <c r="B446" s="5">
        <v>6964</v>
      </c>
      <c r="C446" s="6" t="s">
        <v>417</v>
      </c>
      <c r="D446" s="6">
        <v>17</v>
      </c>
      <c r="E446" s="4"/>
      <c r="F446" s="7"/>
      <c r="G446" s="4">
        <v>4</v>
      </c>
      <c r="H446" s="8">
        <f t="shared" si="21"/>
        <v>16.149999999999999</v>
      </c>
      <c r="I446" s="8">
        <f t="shared" si="19"/>
        <v>0.85000000000000142</v>
      </c>
      <c r="J446" s="7">
        <f t="shared" si="20"/>
        <v>27</v>
      </c>
      <c r="K446" s="6">
        <v>1999</v>
      </c>
      <c r="L446" s="5">
        <v>2026</v>
      </c>
      <c r="M446" s="7" t="s">
        <v>16</v>
      </c>
    </row>
    <row r="447" spans="1:13" ht="12" customHeight="1" x14ac:dyDescent="0.25">
      <c r="A447" s="4">
        <v>444</v>
      </c>
      <c r="B447" s="5">
        <v>7024</v>
      </c>
      <c r="C447" s="6" t="s">
        <v>418</v>
      </c>
      <c r="D447" s="5">
        <v>150</v>
      </c>
      <c r="E447" s="4"/>
      <c r="F447" s="7"/>
      <c r="G447" s="4">
        <v>4</v>
      </c>
      <c r="H447" s="8">
        <f t="shared" si="21"/>
        <v>142.5</v>
      </c>
      <c r="I447" s="8">
        <f t="shared" si="19"/>
        <v>7.5</v>
      </c>
      <c r="J447" s="7">
        <f t="shared" si="20"/>
        <v>27</v>
      </c>
      <c r="K447" s="5">
        <v>1999</v>
      </c>
      <c r="L447" s="5">
        <v>2026</v>
      </c>
      <c r="M447" s="7" t="s">
        <v>16</v>
      </c>
    </row>
    <row r="448" spans="1:13" ht="12" customHeight="1" x14ac:dyDescent="0.25">
      <c r="A448" s="4">
        <v>445</v>
      </c>
      <c r="B448" s="5">
        <v>7031</v>
      </c>
      <c r="C448" s="6" t="s">
        <v>419</v>
      </c>
      <c r="D448" s="5">
        <v>3000</v>
      </c>
      <c r="E448" s="4"/>
      <c r="F448" s="7"/>
      <c r="G448" s="4">
        <v>4</v>
      </c>
      <c r="H448" s="8">
        <f t="shared" si="21"/>
        <v>2850</v>
      </c>
      <c r="I448" s="8">
        <f t="shared" si="19"/>
        <v>150</v>
      </c>
      <c r="J448" s="7">
        <f t="shared" si="20"/>
        <v>27</v>
      </c>
      <c r="K448" s="5">
        <v>1999</v>
      </c>
      <c r="L448" s="5">
        <v>2026</v>
      </c>
      <c r="M448" s="7" t="s">
        <v>16</v>
      </c>
    </row>
    <row r="449" spans="1:13" ht="12" customHeight="1" x14ac:dyDescent="0.25">
      <c r="A449" s="4">
        <v>446</v>
      </c>
      <c r="B449" s="5">
        <v>7035</v>
      </c>
      <c r="C449" s="6" t="s">
        <v>420</v>
      </c>
      <c r="D449" s="5">
        <v>80</v>
      </c>
      <c r="E449" s="4"/>
      <c r="F449" s="7"/>
      <c r="G449" s="4">
        <v>4</v>
      </c>
      <c r="H449" s="8">
        <f t="shared" si="21"/>
        <v>76</v>
      </c>
      <c r="I449" s="8">
        <f t="shared" si="19"/>
        <v>4</v>
      </c>
      <c r="J449" s="7">
        <f t="shared" si="20"/>
        <v>27</v>
      </c>
      <c r="K449" s="5">
        <v>1999</v>
      </c>
      <c r="L449" s="5">
        <v>2026</v>
      </c>
      <c r="M449" s="7" t="s">
        <v>16</v>
      </c>
    </row>
    <row r="450" spans="1:13" ht="12" customHeight="1" x14ac:dyDescent="0.25">
      <c r="A450" s="4">
        <v>447</v>
      </c>
      <c r="B450" s="5">
        <v>7139</v>
      </c>
      <c r="C450" s="6" t="s">
        <v>421</v>
      </c>
      <c r="D450" s="6">
        <v>30</v>
      </c>
      <c r="E450" s="4"/>
      <c r="F450" s="7"/>
      <c r="G450" s="4">
        <v>4</v>
      </c>
      <c r="H450" s="8">
        <f t="shared" si="21"/>
        <v>28.5</v>
      </c>
      <c r="I450" s="8">
        <f t="shared" si="19"/>
        <v>1.5</v>
      </c>
      <c r="J450" s="7">
        <f t="shared" si="20"/>
        <v>27</v>
      </c>
      <c r="K450" s="6">
        <v>1999</v>
      </c>
      <c r="L450" s="5">
        <v>2026</v>
      </c>
      <c r="M450" s="7" t="s">
        <v>16</v>
      </c>
    </row>
    <row r="451" spans="1:13" ht="12" customHeight="1" x14ac:dyDescent="0.25">
      <c r="A451" s="4">
        <v>448</v>
      </c>
      <c r="B451" s="5">
        <v>7226</v>
      </c>
      <c r="C451" s="6" t="s">
        <v>422</v>
      </c>
      <c r="D451" s="5">
        <v>10</v>
      </c>
      <c r="E451" s="4"/>
      <c r="F451" s="7"/>
      <c r="G451" s="4">
        <v>4</v>
      </c>
      <c r="H451" s="8">
        <f t="shared" si="21"/>
        <v>9.5</v>
      </c>
      <c r="I451" s="8">
        <f t="shared" si="19"/>
        <v>0.5</v>
      </c>
      <c r="J451" s="7">
        <f t="shared" si="20"/>
        <v>27</v>
      </c>
      <c r="K451" s="5">
        <v>1999</v>
      </c>
      <c r="L451" s="5">
        <v>2026</v>
      </c>
      <c r="M451" s="7" t="s">
        <v>16</v>
      </c>
    </row>
    <row r="452" spans="1:13" ht="12" customHeight="1" x14ac:dyDescent="0.25">
      <c r="A452" s="4">
        <v>449</v>
      </c>
      <c r="B452" s="5">
        <v>7300</v>
      </c>
      <c r="C452" s="6" t="s">
        <v>423</v>
      </c>
      <c r="D452" s="6">
        <v>20</v>
      </c>
      <c r="E452" s="4"/>
      <c r="F452" s="7"/>
      <c r="G452" s="4">
        <v>4</v>
      </c>
      <c r="H452" s="8">
        <f t="shared" si="21"/>
        <v>19</v>
      </c>
      <c r="I452" s="8">
        <f t="shared" ref="I452:I484" si="22">(D452-H452)</f>
        <v>1</v>
      </c>
      <c r="J452" s="7">
        <f t="shared" ref="J452:J485" si="23">(L452-K452)</f>
        <v>27</v>
      </c>
      <c r="K452" s="6">
        <v>1999</v>
      </c>
      <c r="L452" s="5">
        <v>2026</v>
      </c>
      <c r="M452" s="7" t="s">
        <v>16</v>
      </c>
    </row>
    <row r="453" spans="1:13" ht="12" customHeight="1" x14ac:dyDescent="0.25">
      <c r="A453" s="4">
        <v>450</v>
      </c>
      <c r="B453" s="5">
        <v>7317</v>
      </c>
      <c r="C453" s="6" t="s">
        <v>424</v>
      </c>
      <c r="D453" s="5">
        <v>10</v>
      </c>
      <c r="E453" s="4"/>
      <c r="F453" s="7"/>
      <c r="G453" s="4">
        <v>4</v>
      </c>
      <c r="H453" s="8">
        <f t="shared" ref="H453:H484" si="24">D453*0.95</f>
        <v>9.5</v>
      </c>
      <c r="I453" s="8">
        <f t="shared" si="22"/>
        <v>0.5</v>
      </c>
      <c r="J453" s="7">
        <f t="shared" si="23"/>
        <v>27</v>
      </c>
      <c r="K453" s="5">
        <v>1999</v>
      </c>
      <c r="L453" s="5">
        <v>2026</v>
      </c>
      <c r="M453" s="7" t="s">
        <v>16</v>
      </c>
    </row>
    <row r="454" spans="1:13" ht="12" customHeight="1" x14ac:dyDescent="0.25">
      <c r="A454" s="4">
        <v>451</v>
      </c>
      <c r="B454" s="5">
        <v>7408</v>
      </c>
      <c r="C454" s="6" t="s">
        <v>425</v>
      </c>
      <c r="D454" s="5">
        <v>150</v>
      </c>
      <c r="E454" s="4"/>
      <c r="F454" s="7"/>
      <c r="G454" s="4">
        <v>4</v>
      </c>
      <c r="H454" s="8">
        <f t="shared" si="24"/>
        <v>142.5</v>
      </c>
      <c r="I454" s="8">
        <f t="shared" si="22"/>
        <v>7.5</v>
      </c>
      <c r="J454" s="7">
        <f t="shared" si="23"/>
        <v>26</v>
      </c>
      <c r="K454" s="5">
        <v>2000</v>
      </c>
      <c r="L454" s="5">
        <v>2026</v>
      </c>
      <c r="M454" s="7" t="s">
        <v>16</v>
      </c>
    </row>
    <row r="455" spans="1:13" ht="12" customHeight="1" x14ac:dyDescent="0.25">
      <c r="A455" s="4">
        <v>452</v>
      </c>
      <c r="B455" s="5">
        <v>7457</v>
      </c>
      <c r="C455" s="6" t="s">
        <v>426</v>
      </c>
      <c r="D455" s="5">
        <v>75</v>
      </c>
      <c r="E455" s="4"/>
      <c r="F455" s="7"/>
      <c r="G455" s="4">
        <v>4</v>
      </c>
      <c r="H455" s="8">
        <f t="shared" si="24"/>
        <v>71.25</v>
      </c>
      <c r="I455" s="8">
        <f t="shared" si="22"/>
        <v>3.75</v>
      </c>
      <c r="J455" s="7">
        <f t="shared" si="23"/>
        <v>26</v>
      </c>
      <c r="K455" s="5">
        <v>2000</v>
      </c>
      <c r="L455" s="5">
        <v>2026</v>
      </c>
      <c r="M455" s="7" t="s">
        <v>16</v>
      </c>
    </row>
    <row r="456" spans="1:13" ht="12" customHeight="1" x14ac:dyDescent="0.25">
      <c r="A456" s="4">
        <v>453</v>
      </c>
      <c r="B456" s="9">
        <v>7461</v>
      </c>
      <c r="C456" s="9" t="s">
        <v>427</v>
      </c>
      <c r="D456" s="9">
        <v>75</v>
      </c>
      <c r="E456" s="4"/>
      <c r="F456" s="7"/>
      <c r="G456" s="4">
        <v>4</v>
      </c>
      <c r="H456" s="8">
        <f t="shared" si="24"/>
        <v>71.25</v>
      </c>
      <c r="I456" s="8">
        <f t="shared" si="22"/>
        <v>3.75</v>
      </c>
      <c r="J456" s="7">
        <f t="shared" si="23"/>
        <v>26</v>
      </c>
      <c r="K456" s="9">
        <v>2000</v>
      </c>
      <c r="L456" s="5">
        <v>2026</v>
      </c>
      <c r="M456" s="7" t="s">
        <v>16</v>
      </c>
    </row>
    <row r="457" spans="1:13" ht="12" customHeight="1" x14ac:dyDescent="0.25">
      <c r="A457" s="4">
        <v>454</v>
      </c>
      <c r="B457" s="5">
        <v>7497</v>
      </c>
      <c r="C457" s="6" t="s">
        <v>428</v>
      </c>
      <c r="D457" s="5">
        <v>150</v>
      </c>
      <c r="E457" s="4"/>
      <c r="F457" s="7"/>
      <c r="G457" s="4">
        <v>4</v>
      </c>
      <c r="H457" s="8">
        <f t="shared" si="24"/>
        <v>142.5</v>
      </c>
      <c r="I457" s="8">
        <f t="shared" si="22"/>
        <v>7.5</v>
      </c>
      <c r="J457" s="7">
        <f t="shared" si="23"/>
        <v>26</v>
      </c>
      <c r="K457" s="5">
        <v>2000</v>
      </c>
      <c r="L457" s="5">
        <v>2026</v>
      </c>
      <c r="M457" s="7" t="s">
        <v>16</v>
      </c>
    </row>
    <row r="458" spans="1:13" ht="12" customHeight="1" x14ac:dyDescent="0.25">
      <c r="A458" s="4">
        <v>455</v>
      </c>
      <c r="B458" s="5">
        <v>7506</v>
      </c>
      <c r="C458" s="6" t="s">
        <v>429</v>
      </c>
      <c r="D458" s="5">
        <v>60</v>
      </c>
      <c r="E458" s="4"/>
      <c r="F458" s="7"/>
      <c r="G458" s="4">
        <v>4</v>
      </c>
      <c r="H458" s="8">
        <f t="shared" si="24"/>
        <v>57</v>
      </c>
      <c r="I458" s="8">
        <f t="shared" si="22"/>
        <v>3</v>
      </c>
      <c r="J458" s="7">
        <f t="shared" si="23"/>
        <v>26</v>
      </c>
      <c r="K458" s="5">
        <v>2000</v>
      </c>
      <c r="L458" s="5">
        <v>2026</v>
      </c>
      <c r="M458" s="7" t="s">
        <v>16</v>
      </c>
    </row>
    <row r="459" spans="1:13" ht="12" customHeight="1" x14ac:dyDescent="0.25">
      <c r="A459" s="4">
        <v>456</v>
      </c>
      <c r="B459" s="5">
        <v>7577</v>
      </c>
      <c r="C459" s="6" t="s">
        <v>430</v>
      </c>
      <c r="D459" s="5">
        <v>100</v>
      </c>
      <c r="E459" s="4"/>
      <c r="F459" s="7"/>
      <c r="G459" s="4">
        <v>4</v>
      </c>
      <c r="H459" s="8">
        <f t="shared" si="24"/>
        <v>95</v>
      </c>
      <c r="I459" s="8">
        <f t="shared" si="22"/>
        <v>5</v>
      </c>
      <c r="J459" s="7">
        <f t="shared" si="23"/>
        <v>26</v>
      </c>
      <c r="K459" s="5">
        <v>2000</v>
      </c>
      <c r="L459" s="5">
        <v>2026</v>
      </c>
      <c r="M459" s="7" t="s">
        <v>16</v>
      </c>
    </row>
    <row r="460" spans="1:13" ht="12" customHeight="1" x14ac:dyDescent="0.25">
      <c r="A460" s="4">
        <v>457</v>
      </c>
      <c r="B460" s="5">
        <v>7581</v>
      </c>
      <c r="C460" s="6" t="s">
        <v>431</v>
      </c>
      <c r="D460" s="5">
        <v>36</v>
      </c>
      <c r="E460" s="4"/>
      <c r="F460" s="7"/>
      <c r="G460" s="4">
        <v>4</v>
      </c>
      <c r="H460" s="8">
        <f t="shared" si="24"/>
        <v>34.199999999999996</v>
      </c>
      <c r="I460" s="8">
        <f t="shared" si="22"/>
        <v>1.8000000000000043</v>
      </c>
      <c r="J460" s="7">
        <f t="shared" si="23"/>
        <v>26</v>
      </c>
      <c r="K460" s="5">
        <v>2000</v>
      </c>
      <c r="L460" s="5">
        <v>2026</v>
      </c>
      <c r="M460" s="7" t="s">
        <v>16</v>
      </c>
    </row>
    <row r="461" spans="1:13" ht="12" customHeight="1" x14ac:dyDescent="0.25">
      <c r="A461" s="4">
        <v>458</v>
      </c>
      <c r="B461" s="5">
        <v>7601</v>
      </c>
      <c r="C461" s="6" t="s">
        <v>432</v>
      </c>
      <c r="D461" s="5">
        <v>12</v>
      </c>
      <c r="E461" s="4"/>
      <c r="F461" s="7"/>
      <c r="G461" s="4">
        <v>4</v>
      </c>
      <c r="H461" s="8">
        <f t="shared" si="24"/>
        <v>11.399999999999999</v>
      </c>
      <c r="I461" s="8">
        <f t="shared" si="22"/>
        <v>0.60000000000000142</v>
      </c>
      <c r="J461" s="7">
        <f t="shared" si="23"/>
        <v>26</v>
      </c>
      <c r="K461" s="5">
        <v>2000</v>
      </c>
      <c r="L461" s="5">
        <v>2026</v>
      </c>
      <c r="M461" s="7" t="s">
        <v>16</v>
      </c>
    </row>
    <row r="462" spans="1:13" ht="12" customHeight="1" x14ac:dyDescent="0.25">
      <c r="A462" s="4">
        <v>459</v>
      </c>
      <c r="B462" s="5">
        <v>7611</v>
      </c>
      <c r="C462" s="6" t="s">
        <v>433</v>
      </c>
      <c r="D462" s="6">
        <v>12</v>
      </c>
      <c r="E462" s="4"/>
      <c r="F462" s="7"/>
      <c r="G462" s="4">
        <v>4</v>
      </c>
      <c r="H462" s="8">
        <f t="shared" si="24"/>
        <v>11.399999999999999</v>
      </c>
      <c r="I462" s="8">
        <f t="shared" si="22"/>
        <v>0.60000000000000142</v>
      </c>
      <c r="J462" s="7">
        <f t="shared" si="23"/>
        <v>26</v>
      </c>
      <c r="K462" s="6">
        <v>2000</v>
      </c>
      <c r="L462" s="5">
        <v>2026</v>
      </c>
      <c r="M462" s="7" t="s">
        <v>16</v>
      </c>
    </row>
    <row r="463" spans="1:13" ht="12" customHeight="1" x14ac:dyDescent="0.25">
      <c r="A463" s="4">
        <v>460</v>
      </c>
      <c r="B463" s="5">
        <v>7613</v>
      </c>
      <c r="C463" s="6" t="s">
        <v>434</v>
      </c>
      <c r="D463" s="5">
        <v>12</v>
      </c>
      <c r="E463" s="4"/>
      <c r="F463" s="7"/>
      <c r="G463" s="4">
        <v>4</v>
      </c>
      <c r="H463" s="8">
        <f t="shared" si="24"/>
        <v>11.399999999999999</v>
      </c>
      <c r="I463" s="8">
        <f t="shared" si="22"/>
        <v>0.60000000000000142</v>
      </c>
      <c r="J463" s="7">
        <f t="shared" si="23"/>
        <v>26</v>
      </c>
      <c r="K463" s="5">
        <v>2000</v>
      </c>
      <c r="L463" s="5">
        <v>2026</v>
      </c>
      <c r="M463" s="7" t="s">
        <v>16</v>
      </c>
    </row>
    <row r="464" spans="1:13" ht="12" customHeight="1" x14ac:dyDescent="0.25">
      <c r="A464" s="4">
        <v>461</v>
      </c>
      <c r="B464" s="5">
        <v>7626</v>
      </c>
      <c r="C464" s="6" t="s">
        <v>435</v>
      </c>
      <c r="D464" s="5">
        <v>15</v>
      </c>
      <c r="E464" s="4"/>
      <c r="F464" s="7"/>
      <c r="G464" s="4">
        <v>4</v>
      </c>
      <c r="H464" s="8">
        <f t="shared" si="24"/>
        <v>14.25</v>
      </c>
      <c r="I464" s="8">
        <f t="shared" si="22"/>
        <v>0.75</v>
      </c>
      <c r="J464" s="7">
        <f t="shared" si="23"/>
        <v>26</v>
      </c>
      <c r="K464" s="5">
        <v>2000</v>
      </c>
      <c r="L464" s="5">
        <v>2026</v>
      </c>
      <c r="M464" s="7" t="s">
        <v>16</v>
      </c>
    </row>
    <row r="465" spans="1:13" ht="12" customHeight="1" x14ac:dyDescent="0.25">
      <c r="A465" s="4">
        <v>462</v>
      </c>
      <c r="B465" s="5">
        <v>7644</v>
      </c>
      <c r="C465" s="6" t="s">
        <v>436</v>
      </c>
      <c r="D465" s="5">
        <v>35</v>
      </c>
      <c r="E465" s="4"/>
      <c r="F465" s="7"/>
      <c r="G465" s="4">
        <v>4</v>
      </c>
      <c r="H465" s="8">
        <f t="shared" si="24"/>
        <v>33.25</v>
      </c>
      <c r="I465" s="8">
        <f t="shared" si="22"/>
        <v>1.75</v>
      </c>
      <c r="J465" s="7">
        <f t="shared" si="23"/>
        <v>26</v>
      </c>
      <c r="K465" s="5">
        <v>2000</v>
      </c>
      <c r="L465" s="5">
        <v>2026</v>
      </c>
      <c r="M465" s="7" t="s">
        <v>16</v>
      </c>
    </row>
    <row r="466" spans="1:13" ht="12" customHeight="1" x14ac:dyDescent="0.25">
      <c r="A466" s="4">
        <v>463</v>
      </c>
      <c r="B466" s="5">
        <v>7681</v>
      </c>
      <c r="C466" s="6" t="s">
        <v>437</v>
      </c>
      <c r="D466" s="5">
        <v>199</v>
      </c>
      <c r="E466" s="4"/>
      <c r="F466" s="7"/>
      <c r="G466" s="4">
        <v>4</v>
      </c>
      <c r="H466" s="8">
        <f t="shared" si="24"/>
        <v>189.04999999999998</v>
      </c>
      <c r="I466" s="8">
        <f t="shared" si="22"/>
        <v>9.9500000000000171</v>
      </c>
      <c r="J466" s="7">
        <f t="shared" si="23"/>
        <v>26</v>
      </c>
      <c r="K466" s="5">
        <v>2000</v>
      </c>
      <c r="L466" s="5">
        <v>2026</v>
      </c>
      <c r="M466" s="7" t="s">
        <v>16</v>
      </c>
    </row>
    <row r="467" spans="1:13" ht="12" customHeight="1" x14ac:dyDescent="0.25">
      <c r="A467" s="4">
        <v>464</v>
      </c>
      <c r="B467" s="9">
        <v>7701</v>
      </c>
      <c r="C467" s="9" t="s">
        <v>438</v>
      </c>
      <c r="D467" s="9">
        <v>60</v>
      </c>
      <c r="E467" s="4"/>
      <c r="F467" s="7"/>
      <c r="G467" s="4">
        <v>4</v>
      </c>
      <c r="H467" s="8">
        <f t="shared" si="24"/>
        <v>57</v>
      </c>
      <c r="I467" s="8">
        <f t="shared" si="22"/>
        <v>3</v>
      </c>
      <c r="J467" s="7">
        <f t="shared" si="23"/>
        <v>26</v>
      </c>
      <c r="K467" s="9">
        <v>2000</v>
      </c>
      <c r="L467" s="5">
        <v>2026</v>
      </c>
      <c r="M467" s="7" t="s">
        <v>16</v>
      </c>
    </row>
    <row r="468" spans="1:13" ht="12" customHeight="1" x14ac:dyDescent="0.25">
      <c r="A468" s="4">
        <v>465</v>
      </c>
      <c r="B468" s="5">
        <v>7737</v>
      </c>
      <c r="C468" s="6" t="s">
        <v>439</v>
      </c>
      <c r="D468" s="5">
        <v>35</v>
      </c>
      <c r="E468" s="4"/>
      <c r="F468" s="7"/>
      <c r="G468" s="4">
        <v>4</v>
      </c>
      <c r="H468" s="8">
        <f t="shared" si="24"/>
        <v>33.25</v>
      </c>
      <c r="I468" s="8">
        <f t="shared" si="22"/>
        <v>1.75</v>
      </c>
      <c r="J468" s="7">
        <f t="shared" si="23"/>
        <v>26</v>
      </c>
      <c r="K468" s="5">
        <v>2000</v>
      </c>
      <c r="L468" s="5">
        <v>2026</v>
      </c>
      <c r="M468" s="7" t="s">
        <v>16</v>
      </c>
    </row>
    <row r="469" spans="1:13" ht="12" customHeight="1" x14ac:dyDescent="0.25">
      <c r="A469" s="4">
        <v>466</v>
      </c>
      <c r="B469" s="5">
        <v>7742</v>
      </c>
      <c r="C469" s="6" t="s">
        <v>440</v>
      </c>
      <c r="D469" s="6">
        <v>140</v>
      </c>
      <c r="E469" s="4"/>
      <c r="F469" s="7"/>
      <c r="G469" s="4">
        <v>4</v>
      </c>
      <c r="H469" s="8">
        <f t="shared" si="24"/>
        <v>133</v>
      </c>
      <c r="I469" s="8">
        <f t="shared" si="22"/>
        <v>7</v>
      </c>
      <c r="J469" s="7">
        <f t="shared" si="23"/>
        <v>26</v>
      </c>
      <c r="K469" s="6">
        <v>2000</v>
      </c>
      <c r="L469" s="5">
        <v>2026</v>
      </c>
      <c r="M469" s="7" t="s">
        <v>16</v>
      </c>
    </row>
    <row r="470" spans="1:13" ht="12" customHeight="1" x14ac:dyDescent="0.25">
      <c r="A470" s="4">
        <v>467</v>
      </c>
      <c r="B470" s="5">
        <v>7761</v>
      </c>
      <c r="C470" s="6" t="s">
        <v>441</v>
      </c>
      <c r="D470" s="5">
        <v>75</v>
      </c>
      <c r="E470" s="4"/>
      <c r="F470" s="7"/>
      <c r="G470" s="4">
        <v>4</v>
      </c>
      <c r="H470" s="8">
        <f t="shared" si="24"/>
        <v>71.25</v>
      </c>
      <c r="I470" s="8">
        <f t="shared" si="22"/>
        <v>3.75</v>
      </c>
      <c r="J470" s="7">
        <f t="shared" si="23"/>
        <v>26</v>
      </c>
      <c r="K470" s="5">
        <v>2000</v>
      </c>
      <c r="L470" s="5">
        <v>2026</v>
      </c>
      <c r="M470" s="7" t="s">
        <v>16</v>
      </c>
    </row>
    <row r="471" spans="1:13" ht="12" customHeight="1" x14ac:dyDescent="0.25">
      <c r="A471" s="4">
        <v>468</v>
      </c>
      <c r="B471" s="5">
        <v>7762</v>
      </c>
      <c r="C471" s="6" t="s">
        <v>246</v>
      </c>
      <c r="D471" s="5">
        <v>95</v>
      </c>
      <c r="E471" s="4"/>
      <c r="F471" s="7"/>
      <c r="G471" s="4">
        <v>4</v>
      </c>
      <c r="H471" s="8">
        <f t="shared" si="24"/>
        <v>90.25</v>
      </c>
      <c r="I471" s="8">
        <f t="shared" si="22"/>
        <v>4.75</v>
      </c>
      <c r="J471" s="7">
        <f t="shared" si="23"/>
        <v>26</v>
      </c>
      <c r="K471" s="5">
        <v>2000</v>
      </c>
      <c r="L471" s="5">
        <v>2026</v>
      </c>
      <c r="M471" s="7" t="s">
        <v>16</v>
      </c>
    </row>
    <row r="472" spans="1:13" ht="12" customHeight="1" x14ac:dyDescent="0.25">
      <c r="A472" s="4">
        <v>469</v>
      </c>
      <c r="B472" s="5">
        <v>7901</v>
      </c>
      <c r="C472" s="6" t="s">
        <v>442</v>
      </c>
      <c r="D472" s="6">
        <v>30</v>
      </c>
      <c r="E472" s="4"/>
      <c r="F472" s="7"/>
      <c r="G472" s="4">
        <v>4</v>
      </c>
      <c r="H472" s="8">
        <f t="shared" si="24"/>
        <v>28.5</v>
      </c>
      <c r="I472" s="8">
        <f t="shared" si="22"/>
        <v>1.5</v>
      </c>
      <c r="J472" s="7">
        <f t="shared" si="23"/>
        <v>26</v>
      </c>
      <c r="K472" s="6">
        <v>2000</v>
      </c>
      <c r="L472" s="5">
        <v>2026</v>
      </c>
      <c r="M472" s="7" t="s">
        <v>16</v>
      </c>
    </row>
    <row r="473" spans="1:13" ht="12" customHeight="1" x14ac:dyDescent="0.25">
      <c r="A473" s="4">
        <v>470</v>
      </c>
      <c r="B473" s="5">
        <v>7941</v>
      </c>
      <c r="C473" s="6" t="s">
        <v>443</v>
      </c>
      <c r="D473" s="6">
        <v>12</v>
      </c>
      <c r="E473" s="4"/>
      <c r="F473" s="7"/>
      <c r="G473" s="4">
        <v>4</v>
      </c>
      <c r="H473" s="8">
        <f t="shared" si="24"/>
        <v>11.399999999999999</v>
      </c>
      <c r="I473" s="8">
        <f t="shared" si="22"/>
        <v>0.60000000000000142</v>
      </c>
      <c r="J473" s="7">
        <f t="shared" si="23"/>
        <v>26</v>
      </c>
      <c r="K473" s="6">
        <v>2000</v>
      </c>
      <c r="L473" s="5">
        <v>2026</v>
      </c>
      <c r="M473" s="7" t="s">
        <v>16</v>
      </c>
    </row>
    <row r="474" spans="1:13" ht="12" customHeight="1" x14ac:dyDescent="0.25">
      <c r="A474" s="4">
        <v>471</v>
      </c>
      <c r="B474" s="5">
        <v>8360</v>
      </c>
      <c r="C474" s="6" t="s">
        <v>444</v>
      </c>
      <c r="D474" s="6">
        <v>250</v>
      </c>
      <c r="E474" s="4"/>
      <c r="F474" s="7"/>
      <c r="G474" s="4">
        <v>4</v>
      </c>
      <c r="H474" s="8">
        <f t="shared" si="24"/>
        <v>237.5</v>
      </c>
      <c r="I474" s="8">
        <f t="shared" si="22"/>
        <v>12.5</v>
      </c>
      <c r="J474" s="7">
        <f t="shared" si="23"/>
        <v>25</v>
      </c>
      <c r="K474" s="6">
        <v>2001</v>
      </c>
      <c r="L474" s="5">
        <v>2026</v>
      </c>
      <c r="M474" s="7" t="s">
        <v>16</v>
      </c>
    </row>
    <row r="475" spans="1:13" ht="12" customHeight="1" x14ac:dyDescent="0.25">
      <c r="A475" s="4">
        <v>472</v>
      </c>
      <c r="B475" s="5">
        <v>8901</v>
      </c>
      <c r="C475" s="6" t="s">
        <v>445</v>
      </c>
      <c r="D475" s="5">
        <v>80</v>
      </c>
      <c r="E475" s="4"/>
      <c r="F475" s="7"/>
      <c r="G475" s="4">
        <v>4</v>
      </c>
      <c r="H475" s="8">
        <f t="shared" si="24"/>
        <v>76</v>
      </c>
      <c r="I475" s="8">
        <f t="shared" si="22"/>
        <v>4</v>
      </c>
      <c r="J475" s="7">
        <f t="shared" si="23"/>
        <v>16</v>
      </c>
      <c r="K475" s="5">
        <v>2010</v>
      </c>
      <c r="L475" s="5">
        <v>2026</v>
      </c>
      <c r="M475" s="7" t="s">
        <v>16</v>
      </c>
    </row>
    <row r="476" spans="1:13" ht="12" customHeight="1" x14ac:dyDescent="0.25">
      <c r="A476" s="4">
        <v>473</v>
      </c>
      <c r="B476" s="5">
        <v>9306</v>
      </c>
      <c r="C476" s="6" t="s">
        <v>446</v>
      </c>
      <c r="D476" s="5">
        <v>29</v>
      </c>
      <c r="E476" s="4"/>
      <c r="F476" s="7"/>
      <c r="G476" s="4">
        <v>4</v>
      </c>
      <c r="H476" s="8">
        <f t="shared" si="24"/>
        <v>27.549999999999997</v>
      </c>
      <c r="I476" s="8">
        <f t="shared" si="22"/>
        <v>1.4500000000000028</v>
      </c>
      <c r="J476" s="7">
        <f t="shared" si="23"/>
        <v>23</v>
      </c>
      <c r="K476" s="5">
        <v>2003</v>
      </c>
      <c r="L476" s="5">
        <v>2026</v>
      </c>
      <c r="M476" s="7" t="s">
        <v>16</v>
      </c>
    </row>
    <row r="477" spans="1:13" ht="12" customHeight="1" x14ac:dyDescent="0.25">
      <c r="A477" s="4">
        <v>474</v>
      </c>
      <c r="B477" s="5">
        <v>9624</v>
      </c>
      <c r="C477" s="6" t="s">
        <v>447</v>
      </c>
      <c r="D477" s="5">
        <v>65</v>
      </c>
      <c r="E477" s="4"/>
      <c r="F477" s="7"/>
      <c r="G477" s="4">
        <v>4</v>
      </c>
      <c r="H477" s="8">
        <f t="shared" si="24"/>
        <v>61.75</v>
      </c>
      <c r="I477" s="8">
        <f t="shared" si="22"/>
        <v>3.25</v>
      </c>
      <c r="J477" s="7">
        <f t="shared" si="23"/>
        <v>23</v>
      </c>
      <c r="K477" s="5">
        <v>2003</v>
      </c>
      <c r="L477" s="5">
        <v>2026</v>
      </c>
      <c r="M477" s="7" t="s">
        <v>16</v>
      </c>
    </row>
    <row r="478" spans="1:13" ht="12" customHeight="1" x14ac:dyDescent="0.25">
      <c r="A478" s="4">
        <v>475</v>
      </c>
      <c r="B478" s="5">
        <v>9624</v>
      </c>
      <c r="C478" s="6" t="s">
        <v>448</v>
      </c>
      <c r="D478" s="5">
        <v>65</v>
      </c>
      <c r="E478" s="4"/>
      <c r="F478" s="7"/>
      <c r="G478" s="4">
        <v>4</v>
      </c>
      <c r="H478" s="8">
        <f t="shared" si="24"/>
        <v>61.75</v>
      </c>
      <c r="I478" s="8">
        <f t="shared" si="22"/>
        <v>3.25</v>
      </c>
      <c r="J478" s="7">
        <f t="shared" si="23"/>
        <v>23</v>
      </c>
      <c r="K478" s="5">
        <v>2003</v>
      </c>
      <c r="L478" s="5">
        <v>2026</v>
      </c>
      <c r="M478" s="7" t="s">
        <v>16</v>
      </c>
    </row>
    <row r="479" spans="1:13" ht="12" customHeight="1" x14ac:dyDescent="0.25">
      <c r="A479" s="4">
        <v>476</v>
      </c>
      <c r="B479" s="5">
        <v>9751</v>
      </c>
      <c r="C479" s="6" t="s">
        <v>449</v>
      </c>
      <c r="D479" s="5">
        <v>23</v>
      </c>
      <c r="E479" s="4"/>
      <c r="F479" s="7"/>
      <c r="G479" s="4">
        <v>4</v>
      </c>
      <c r="H479" s="8">
        <f t="shared" si="24"/>
        <v>21.849999999999998</v>
      </c>
      <c r="I479" s="8">
        <f t="shared" si="22"/>
        <v>1.1500000000000021</v>
      </c>
      <c r="J479" s="7">
        <f t="shared" si="23"/>
        <v>23</v>
      </c>
      <c r="K479" s="5">
        <v>2003</v>
      </c>
      <c r="L479" s="5">
        <v>2026</v>
      </c>
      <c r="M479" s="7" t="s">
        <v>16</v>
      </c>
    </row>
    <row r="480" spans="1:13" ht="12" customHeight="1" x14ac:dyDescent="0.25">
      <c r="A480" s="4">
        <v>477</v>
      </c>
      <c r="B480" s="5">
        <v>10024</v>
      </c>
      <c r="C480" s="6" t="s">
        <v>450</v>
      </c>
      <c r="D480" s="6">
        <v>220</v>
      </c>
      <c r="E480" s="4"/>
      <c r="F480" s="7"/>
      <c r="G480" s="4">
        <v>4</v>
      </c>
      <c r="H480" s="8">
        <f t="shared" si="24"/>
        <v>209</v>
      </c>
      <c r="I480" s="8">
        <f t="shared" si="22"/>
        <v>11</v>
      </c>
      <c r="J480" s="7">
        <f t="shared" si="23"/>
        <v>22</v>
      </c>
      <c r="K480" s="6">
        <v>2004</v>
      </c>
      <c r="L480" s="5">
        <v>2026</v>
      </c>
      <c r="M480" s="7" t="s">
        <v>16</v>
      </c>
    </row>
    <row r="481" spans="1:13" ht="12" customHeight="1" x14ac:dyDescent="0.25">
      <c r="A481" s="4">
        <v>478</v>
      </c>
      <c r="B481" s="5">
        <v>10152</v>
      </c>
      <c r="C481" s="6" t="s">
        <v>451</v>
      </c>
      <c r="D481" s="5">
        <v>65</v>
      </c>
      <c r="E481" s="4"/>
      <c r="F481" s="7"/>
      <c r="G481" s="4">
        <v>4</v>
      </c>
      <c r="H481" s="8">
        <f t="shared" si="24"/>
        <v>61.75</v>
      </c>
      <c r="I481" s="8">
        <f t="shared" si="22"/>
        <v>3.25</v>
      </c>
      <c r="J481" s="7">
        <f t="shared" si="23"/>
        <v>22</v>
      </c>
      <c r="K481" s="5">
        <v>2004</v>
      </c>
      <c r="L481" s="5">
        <v>2026</v>
      </c>
      <c r="M481" s="7" t="s">
        <v>16</v>
      </c>
    </row>
    <row r="482" spans="1:13" ht="12" customHeight="1" x14ac:dyDescent="0.25">
      <c r="A482" s="4">
        <v>479</v>
      </c>
      <c r="B482" s="5">
        <v>10228</v>
      </c>
      <c r="C482" s="6" t="s">
        <v>15</v>
      </c>
      <c r="D482" s="5">
        <v>40</v>
      </c>
      <c r="E482" s="4"/>
      <c r="F482" s="7"/>
      <c r="G482" s="4">
        <v>4</v>
      </c>
      <c r="H482" s="8">
        <f t="shared" si="24"/>
        <v>38</v>
      </c>
      <c r="I482" s="8">
        <f t="shared" si="22"/>
        <v>2</v>
      </c>
      <c r="J482" s="7">
        <f t="shared" si="23"/>
        <v>22</v>
      </c>
      <c r="K482" s="5">
        <v>2004</v>
      </c>
      <c r="L482" s="5">
        <v>2026</v>
      </c>
      <c r="M482" s="7" t="s">
        <v>16</v>
      </c>
    </row>
    <row r="483" spans="1:13" ht="12" customHeight="1" x14ac:dyDescent="0.25">
      <c r="A483" s="4">
        <v>480</v>
      </c>
      <c r="B483" s="5">
        <v>10230</v>
      </c>
      <c r="C483" s="6" t="s">
        <v>17</v>
      </c>
      <c r="D483" s="6">
        <v>40</v>
      </c>
      <c r="E483" s="4"/>
      <c r="F483" s="7"/>
      <c r="G483" s="4">
        <v>4</v>
      </c>
      <c r="H483" s="8">
        <f t="shared" si="24"/>
        <v>38</v>
      </c>
      <c r="I483" s="8">
        <f t="shared" si="22"/>
        <v>2</v>
      </c>
      <c r="J483" s="7">
        <f t="shared" si="23"/>
        <v>22</v>
      </c>
      <c r="K483" s="6">
        <v>2004</v>
      </c>
      <c r="L483" s="5">
        <v>2026</v>
      </c>
      <c r="M483" s="7" t="s">
        <v>16</v>
      </c>
    </row>
    <row r="484" spans="1:13" ht="12" customHeight="1" x14ac:dyDescent="0.25">
      <c r="A484" s="4">
        <v>481</v>
      </c>
      <c r="B484" s="5">
        <v>10235</v>
      </c>
      <c r="C484" s="9" t="s">
        <v>18</v>
      </c>
      <c r="D484" s="5">
        <v>40</v>
      </c>
      <c r="E484" s="4"/>
      <c r="F484" s="7"/>
      <c r="G484" s="4">
        <v>4</v>
      </c>
      <c r="H484" s="8">
        <f t="shared" si="24"/>
        <v>38</v>
      </c>
      <c r="I484" s="8">
        <f t="shared" si="22"/>
        <v>2</v>
      </c>
      <c r="J484" s="7">
        <f t="shared" si="23"/>
        <v>22</v>
      </c>
      <c r="K484" s="5">
        <v>2004</v>
      </c>
      <c r="L484" s="5">
        <v>2026</v>
      </c>
      <c r="M484" s="7" t="s">
        <v>16</v>
      </c>
    </row>
    <row r="485" spans="1:13" ht="12" customHeight="1" x14ac:dyDescent="0.25">
      <c r="A485" s="4"/>
      <c r="B485" s="4"/>
      <c r="C485" s="10"/>
      <c r="D485" s="7">
        <f>SUM(D4:D484)</f>
        <v>17962.110000000008</v>
      </c>
      <c r="E485" s="7"/>
      <c r="F485" s="7">
        <f t="shared" ref="F485:F548" si="25">(D485*E485)</f>
        <v>0</v>
      </c>
      <c r="G485" s="7">
        <f>SUM(G4:G484)</f>
        <v>1924</v>
      </c>
      <c r="H485" s="11">
        <f>SUM(H4:H484)</f>
        <v>17064.004499999992</v>
      </c>
      <c r="I485" s="11">
        <f>SUM(I4:I484)</f>
        <v>898.10550000000012</v>
      </c>
      <c r="J485" s="7">
        <f t="shared" si="23"/>
        <v>0</v>
      </c>
      <c r="K485" s="7"/>
      <c r="L485" s="7"/>
      <c r="M485" s="7"/>
    </row>
    <row r="486" spans="1:13" ht="12" customHeight="1" x14ac:dyDescent="0.25">
      <c r="A486" s="4"/>
      <c r="B486" s="4"/>
      <c r="C486" s="10"/>
      <c r="D486" s="7"/>
      <c r="E486" s="7"/>
      <c r="F486" s="7">
        <f t="shared" si="25"/>
        <v>0</v>
      </c>
      <c r="G486" s="7"/>
      <c r="H486" s="11"/>
      <c r="I486" s="11"/>
      <c r="J486" s="7"/>
      <c r="K486" s="7"/>
      <c r="L486" s="7"/>
      <c r="M486" s="7"/>
    </row>
    <row r="487" spans="1:13" ht="19.5" customHeight="1" x14ac:dyDescent="0.25">
      <c r="A487" s="12" t="s">
        <v>452</v>
      </c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</row>
    <row r="488" spans="1:13" ht="21.75" customHeight="1" x14ac:dyDescent="0.25">
      <c r="A488" s="12" t="s">
        <v>453</v>
      </c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</row>
    <row r="489" spans="1:13" ht="17.25" customHeight="1" x14ac:dyDescent="0.25">
      <c r="A489" s="13" t="s">
        <v>454</v>
      </c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</row>
    <row r="490" spans="1:13" ht="21.75" customHeight="1" x14ac:dyDescent="0.25">
      <c r="A490" s="12" t="s">
        <v>455</v>
      </c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</row>
    <row r="491" spans="1:13" ht="12" customHeight="1" x14ac:dyDescent="0.25">
      <c r="A491" s="12" t="s">
        <v>456</v>
      </c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</row>
    <row r="492" spans="1:13" ht="12" customHeight="1" x14ac:dyDescent="0.25">
      <c r="A492" s="14"/>
      <c r="B492" s="14"/>
      <c r="C492" s="14"/>
      <c r="D492" s="7"/>
      <c r="E492" s="7"/>
      <c r="F492" s="7">
        <f t="shared" si="25"/>
        <v>0</v>
      </c>
      <c r="G492" s="14"/>
      <c r="H492" s="14"/>
      <c r="I492" s="14"/>
      <c r="J492" s="14"/>
      <c r="K492" s="14"/>
      <c r="L492" s="14"/>
      <c r="M492" s="14"/>
    </row>
    <row r="493" spans="1:13" ht="12" customHeight="1" x14ac:dyDescent="0.25">
      <c r="A493" s="14"/>
      <c r="B493" s="14"/>
      <c r="C493" s="14"/>
      <c r="D493" s="7"/>
      <c r="E493" s="7"/>
      <c r="F493" s="7">
        <f t="shared" si="25"/>
        <v>0</v>
      </c>
      <c r="G493" s="14"/>
      <c r="H493" s="14"/>
      <c r="I493" s="14"/>
      <c r="J493" s="14"/>
      <c r="K493" s="14"/>
      <c r="L493" s="14"/>
      <c r="M493" s="14"/>
    </row>
    <row r="494" spans="1:13" ht="12" customHeight="1" x14ac:dyDescent="0.25">
      <c r="A494" s="14"/>
      <c r="B494" s="14"/>
      <c r="C494" s="14"/>
      <c r="D494" s="7"/>
      <c r="E494" s="7"/>
      <c r="F494" s="7">
        <f t="shared" si="25"/>
        <v>0</v>
      </c>
      <c r="G494" s="14"/>
      <c r="H494" s="14"/>
      <c r="I494" s="14"/>
      <c r="J494" s="14"/>
      <c r="K494" s="14"/>
      <c r="L494" s="14"/>
      <c r="M494" s="14"/>
    </row>
    <row r="495" spans="1:13" ht="12" customHeight="1" x14ac:dyDescent="0.25">
      <c r="A495" s="14" t="s">
        <v>457</v>
      </c>
      <c r="B495" s="14"/>
      <c r="C495" s="14"/>
      <c r="D495" s="7"/>
      <c r="E495" s="7"/>
      <c r="F495" s="7">
        <f t="shared" si="25"/>
        <v>0</v>
      </c>
      <c r="G495" s="15" t="s">
        <v>458</v>
      </c>
      <c r="H495" s="15"/>
      <c r="I495" s="15"/>
      <c r="J495" s="15"/>
      <c r="K495" s="15"/>
      <c r="L495" s="15"/>
      <c r="M495" s="15"/>
    </row>
    <row r="496" spans="1:13" ht="12" customHeight="1" x14ac:dyDescent="0.25">
      <c r="A496" s="14"/>
      <c r="B496" s="14"/>
      <c r="C496" s="14"/>
      <c r="D496" s="7"/>
      <c r="E496" s="7"/>
      <c r="F496" s="7">
        <f t="shared" si="25"/>
        <v>0</v>
      </c>
      <c r="G496" s="15"/>
      <c r="H496" s="15"/>
      <c r="I496" s="15"/>
      <c r="J496" s="15"/>
      <c r="K496" s="15"/>
      <c r="L496" s="15"/>
      <c r="M496" s="15"/>
    </row>
    <row r="497" spans="1:13" ht="12" customHeight="1" x14ac:dyDescent="0.25">
      <c r="A497" s="14"/>
      <c r="B497" s="14"/>
      <c r="C497" s="14"/>
      <c r="D497" s="7"/>
      <c r="E497" s="7"/>
      <c r="F497" s="7">
        <f t="shared" si="25"/>
        <v>0</v>
      </c>
      <c r="G497" s="15">
        <v>1</v>
      </c>
      <c r="H497" s="15"/>
      <c r="I497" s="16" t="s">
        <v>459</v>
      </c>
      <c r="J497" s="16"/>
      <c r="K497" s="16"/>
      <c r="L497" s="16"/>
      <c r="M497" s="16"/>
    </row>
    <row r="498" spans="1:13" ht="12" customHeight="1" x14ac:dyDescent="0.25">
      <c r="A498" s="14"/>
      <c r="B498" s="14"/>
      <c r="C498" s="14"/>
      <c r="D498" s="7"/>
      <c r="E498" s="7"/>
      <c r="F498" s="7">
        <f t="shared" si="25"/>
        <v>0</v>
      </c>
      <c r="G498" s="15"/>
      <c r="H498" s="15"/>
      <c r="I498" s="16"/>
      <c r="J498" s="16"/>
      <c r="K498" s="16"/>
      <c r="L498" s="16"/>
      <c r="M498" s="16"/>
    </row>
    <row r="499" spans="1:13" ht="12" customHeight="1" x14ac:dyDescent="0.25">
      <c r="A499" s="14" t="s">
        <v>460</v>
      </c>
      <c r="B499" s="14"/>
      <c r="C499" s="14"/>
      <c r="D499" s="7"/>
      <c r="E499" s="7"/>
      <c r="F499" s="7">
        <f t="shared" si="25"/>
        <v>0</v>
      </c>
      <c r="G499" s="15">
        <v>2</v>
      </c>
      <c r="H499" s="15"/>
      <c r="I499" s="16" t="s">
        <v>459</v>
      </c>
      <c r="J499" s="16"/>
      <c r="K499" s="16"/>
      <c r="L499" s="16"/>
      <c r="M499" s="16"/>
    </row>
    <row r="500" spans="1:13" ht="12" customHeight="1" x14ac:dyDescent="0.25">
      <c r="A500" s="4"/>
      <c r="B500" s="14"/>
      <c r="C500" s="14"/>
      <c r="D500" s="7"/>
      <c r="E500" s="7"/>
      <c r="F500" s="7">
        <f t="shared" si="25"/>
        <v>0</v>
      </c>
      <c r="G500" s="15"/>
      <c r="H500" s="15"/>
      <c r="I500" s="16"/>
      <c r="J500" s="16"/>
      <c r="K500" s="16"/>
      <c r="L500" s="16"/>
      <c r="M500" s="16"/>
    </row>
    <row r="501" spans="1:13" ht="12" customHeight="1" x14ac:dyDescent="0.25">
      <c r="A501" s="4"/>
      <c r="B501" s="14"/>
      <c r="C501" s="14"/>
      <c r="D501" s="7"/>
      <c r="E501" s="7"/>
      <c r="F501" s="7">
        <f t="shared" si="25"/>
        <v>0</v>
      </c>
      <c r="G501" s="15">
        <v>3</v>
      </c>
      <c r="H501" s="15"/>
      <c r="I501" s="16" t="s">
        <v>459</v>
      </c>
      <c r="J501" s="16"/>
      <c r="K501" s="16"/>
      <c r="L501" s="16"/>
      <c r="M501" s="16"/>
    </row>
    <row r="502" spans="1:13" ht="12" customHeight="1" x14ac:dyDescent="0.25">
      <c r="A502" s="4">
        <v>1</v>
      </c>
      <c r="B502" s="14"/>
      <c r="C502" s="14"/>
      <c r="D502" s="7"/>
      <c r="E502" s="7"/>
      <c r="F502" s="7">
        <f t="shared" si="25"/>
        <v>0</v>
      </c>
      <c r="G502" s="15"/>
      <c r="H502" s="15"/>
      <c r="I502" s="16"/>
      <c r="J502" s="16"/>
      <c r="K502" s="16"/>
      <c r="L502" s="16"/>
      <c r="M502" s="16"/>
    </row>
    <row r="503" spans="1:13" ht="12" customHeight="1" x14ac:dyDescent="0.25">
      <c r="A503" s="4"/>
      <c r="B503" s="14"/>
      <c r="C503" s="14"/>
      <c r="D503" s="7"/>
      <c r="E503" s="7"/>
      <c r="F503" s="7">
        <f t="shared" si="25"/>
        <v>0</v>
      </c>
      <c r="G503" s="15">
        <v>4</v>
      </c>
      <c r="H503" s="15"/>
      <c r="I503" s="16" t="s">
        <v>459</v>
      </c>
      <c r="J503" s="16"/>
      <c r="K503" s="16"/>
      <c r="L503" s="16"/>
      <c r="M503" s="16"/>
    </row>
    <row r="504" spans="1:13" ht="12" customHeight="1" x14ac:dyDescent="0.25">
      <c r="A504" s="4"/>
      <c r="B504" s="14"/>
      <c r="C504" s="14"/>
      <c r="D504" s="7"/>
      <c r="E504" s="7"/>
      <c r="F504" s="7">
        <f t="shared" si="25"/>
        <v>0</v>
      </c>
      <c r="G504" s="15"/>
      <c r="H504" s="15"/>
      <c r="I504" s="16"/>
      <c r="J504" s="16"/>
      <c r="K504" s="16"/>
      <c r="L504" s="16"/>
      <c r="M504" s="16"/>
    </row>
    <row r="505" spans="1:13" ht="12" customHeight="1" x14ac:dyDescent="0.25">
      <c r="A505" s="4">
        <v>2</v>
      </c>
      <c r="B505" s="14"/>
      <c r="C505" s="14"/>
      <c r="D505" s="7"/>
      <c r="E505" s="7"/>
      <c r="F505" s="7">
        <f t="shared" si="25"/>
        <v>0</v>
      </c>
      <c r="G505" s="14" t="s">
        <v>461</v>
      </c>
      <c r="H505" s="14"/>
      <c r="I505" s="14"/>
      <c r="J505" s="14"/>
      <c r="K505" s="14"/>
      <c r="L505" s="14"/>
      <c r="M505" s="14"/>
    </row>
    <row r="506" spans="1:13" ht="12" customHeight="1" x14ac:dyDescent="0.25">
      <c r="A506" s="4"/>
      <c r="B506" s="14"/>
      <c r="C506" s="14"/>
      <c r="D506" s="7"/>
      <c r="E506" s="7"/>
      <c r="F506" s="7">
        <f t="shared" si="25"/>
        <v>0</v>
      </c>
      <c r="G506" s="14"/>
      <c r="H506" s="14"/>
      <c r="I506" s="14"/>
      <c r="J506" s="14"/>
      <c r="K506" s="14"/>
      <c r="L506" s="14"/>
      <c r="M506" s="14"/>
    </row>
    <row r="507" spans="1:13" ht="12" customHeight="1" x14ac:dyDescent="0.25">
      <c r="A507" s="4"/>
      <c r="B507" s="14"/>
      <c r="C507" s="14"/>
      <c r="D507" s="7"/>
      <c r="E507" s="7"/>
      <c r="F507" s="7">
        <f t="shared" si="25"/>
        <v>0</v>
      </c>
      <c r="G507" s="14"/>
      <c r="H507" s="14"/>
      <c r="I507" s="14"/>
      <c r="J507" s="14"/>
      <c r="K507" s="14"/>
      <c r="L507" s="14"/>
      <c r="M507" s="14"/>
    </row>
    <row r="508" spans="1:13" ht="12" customHeight="1" x14ac:dyDescent="0.25">
      <c r="A508" s="4">
        <v>3</v>
      </c>
      <c r="B508" s="14"/>
      <c r="C508" s="14"/>
      <c r="D508" s="7"/>
      <c r="E508" s="7"/>
      <c r="F508" s="7">
        <f t="shared" si="25"/>
        <v>0</v>
      </c>
      <c r="G508" s="14"/>
      <c r="H508" s="14"/>
      <c r="I508" s="14"/>
      <c r="J508" s="14"/>
      <c r="K508" s="14"/>
      <c r="L508" s="14"/>
      <c r="M508" s="14"/>
    </row>
    <row r="509" spans="1:13" ht="12" customHeight="1" x14ac:dyDescent="0.25">
      <c r="A509" s="14" t="s">
        <v>462</v>
      </c>
      <c r="B509" s="14"/>
      <c r="C509" s="14"/>
      <c r="D509" s="7"/>
      <c r="E509" s="7"/>
      <c r="F509" s="7">
        <f t="shared" si="25"/>
        <v>0</v>
      </c>
      <c r="G509" s="14"/>
      <c r="H509" s="14"/>
      <c r="I509" s="14"/>
      <c r="J509" s="14"/>
      <c r="K509" s="14"/>
      <c r="L509" s="14"/>
      <c r="M509" s="14"/>
    </row>
    <row r="510" spans="1:13" ht="12" customHeight="1" x14ac:dyDescent="0.25">
      <c r="A510" s="14"/>
      <c r="B510" s="14"/>
      <c r="C510" s="14"/>
      <c r="D510" s="7"/>
      <c r="E510" s="7"/>
      <c r="F510" s="7">
        <f t="shared" si="25"/>
        <v>0</v>
      </c>
      <c r="G510" s="14"/>
      <c r="H510" s="14"/>
      <c r="I510" s="14"/>
      <c r="J510" s="14"/>
      <c r="K510" s="14"/>
      <c r="L510" s="14"/>
      <c r="M510" s="14"/>
    </row>
    <row r="511" spans="1:13" ht="12" customHeight="1" x14ac:dyDescent="0.25">
      <c r="A511" s="14"/>
      <c r="B511" s="14"/>
      <c r="C511" s="14"/>
      <c r="D511" s="7"/>
      <c r="E511" s="7"/>
      <c r="F511" s="7">
        <f t="shared" si="25"/>
        <v>0</v>
      </c>
      <c r="G511" s="14"/>
      <c r="H511" s="14"/>
      <c r="I511" s="14"/>
      <c r="J511" s="14"/>
      <c r="K511" s="14"/>
      <c r="L511" s="14"/>
      <c r="M511" s="14"/>
    </row>
    <row r="512" spans="1:13" ht="12" customHeight="1" x14ac:dyDescent="0.25">
      <c r="A512" s="14"/>
      <c r="B512" s="14"/>
      <c r="C512" s="14"/>
      <c r="D512" s="7"/>
      <c r="E512" s="7"/>
      <c r="F512" s="7">
        <f t="shared" si="25"/>
        <v>0</v>
      </c>
      <c r="G512" s="14"/>
      <c r="H512" s="14"/>
      <c r="I512" s="14"/>
      <c r="J512" s="14"/>
      <c r="K512" s="14"/>
      <c r="L512" s="14"/>
      <c r="M512" s="14"/>
    </row>
    <row r="513" spans="1:13" ht="12" customHeight="1" x14ac:dyDescent="0.25">
      <c r="A513" s="14"/>
      <c r="B513" s="14"/>
      <c r="C513" s="14"/>
      <c r="D513" s="7"/>
      <c r="E513" s="7"/>
      <c r="F513" s="7">
        <f t="shared" si="25"/>
        <v>0</v>
      </c>
      <c r="G513" s="14"/>
      <c r="H513" s="14"/>
      <c r="I513" s="14"/>
      <c r="J513" s="14"/>
      <c r="K513" s="14"/>
      <c r="L513" s="14"/>
      <c r="M513" s="14"/>
    </row>
    <row r="514" spans="1:13" ht="12" customHeight="1" x14ac:dyDescent="0.25">
      <c r="A514" s="14">
        <f>(D514*E514)</f>
        <v>0</v>
      </c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</row>
    <row r="515" spans="1:13" ht="12" customHeight="1" x14ac:dyDescent="0.2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</row>
    <row r="516" spans="1:13" ht="12" customHeight="1" x14ac:dyDescent="0.2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</row>
    <row r="517" spans="1:13" ht="12" customHeight="1" x14ac:dyDescent="0.2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</row>
    <row r="518" spans="1:13" ht="12" customHeight="1" x14ac:dyDescent="0.2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</row>
    <row r="519" spans="1:13" ht="12" customHeight="1" x14ac:dyDescent="0.2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</row>
    <row r="520" spans="1:13" ht="12" customHeight="1" x14ac:dyDescent="0.2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</row>
    <row r="521" spans="1:13" ht="12" customHeight="1" x14ac:dyDescent="0.2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</row>
    <row r="522" spans="1:13" ht="12" customHeight="1" x14ac:dyDescent="0.2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</row>
    <row r="523" spans="1:13" ht="12" customHeight="1" x14ac:dyDescent="0.2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</row>
    <row r="524" spans="1:13" ht="12" customHeight="1" x14ac:dyDescent="0.2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</row>
    <row r="525" spans="1:13" ht="12" customHeight="1" x14ac:dyDescent="0.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</row>
    <row r="526" spans="1:13" ht="12" customHeight="1" x14ac:dyDescent="0.2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</row>
    <row r="527" spans="1:13" ht="12" customHeight="1" x14ac:dyDescent="0.2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</row>
    <row r="528" spans="1:13" ht="12" customHeight="1" x14ac:dyDescent="0.2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</row>
    <row r="529" spans="1:13" ht="12" customHeight="1" x14ac:dyDescent="0.2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</row>
    <row r="530" spans="1:13" ht="12" customHeight="1" x14ac:dyDescent="0.2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</row>
    <row r="531" spans="1:13" ht="12" customHeight="1" x14ac:dyDescent="0.2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</row>
    <row r="532" spans="1:13" ht="12" customHeight="1" x14ac:dyDescent="0.2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</row>
    <row r="533" spans="1:13" ht="12" customHeight="1" x14ac:dyDescent="0.2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</row>
    <row r="534" spans="1:13" ht="12" customHeight="1" x14ac:dyDescent="0.2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</row>
    <row r="535" spans="1:13" ht="12" customHeight="1" x14ac:dyDescent="0.2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</row>
    <row r="536" spans="1:13" ht="12" customHeight="1" x14ac:dyDescent="0.2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</row>
    <row r="537" spans="1:13" ht="12" customHeight="1" x14ac:dyDescent="0.2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</row>
    <row r="538" spans="1:13" ht="12" customHeight="1" x14ac:dyDescent="0.25">
      <c r="A538" s="4"/>
      <c r="B538" s="4"/>
      <c r="C538" s="10"/>
      <c r="D538" s="7"/>
      <c r="E538" s="7"/>
      <c r="F538" s="7">
        <f t="shared" si="25"/>
        <v>0</v>
      </c>
      <c r="G538" s="7"/>
      <c r="H538" s="11"/>
      <c r="I538" s="11"/>
      <c r="J538" s="7"/>
      <c r="K538" s="7"/>
      <c r="L538" s="7"/>
      <c r="M538" s="7"/>
    </row>
    <row r="539" spans="1:13" ht="12" customHeight="1" x14ac:dyDescent="0.25">
      <c r="A539" s="4"/>
      <c r="B539" s="4"/>
      <c r="C539" s="10"/>
      <c r="D539" s="7"/>
      <c r="E539" s="7"/>
      <c r="F539" s="7">
        <f t="shared" si="25"/>
        <v>0</v>
      </c>
      <c r="G539" s="7"/>
      <c r="H539" s="11"/>
      <c r="I539" s="11"/>
      <c r="J539" s="7"/>
      <c r="K539" s="7"/>
      <c r="L539" s="7"/>
      <c r="M539" s="7"/>
    </row>
    <row r="540" spans="1:13" ht="12" customHeight="1" x14ac:dyDescent="0.25">
      <c r="A540" s="4"/>
      <c r="B540" s="4"/>
      <c r="C540" s="10"/>
      <c r="D540" s="7"/>
      <c r="E540" s="7"/>
      <c r="F540" s="7">
        <f t="shared" si="25"/>
        <v>0</v>
      </c>
      <c r="G540" s="7"/>
      <c r="H540" s="11"/>
      <c r="I540" s="11"/>
      <c r="J540" s="7"/>
      <c r="K540" s="7"/>
      <c r="L540" s="7"/>
      <c r="M540" s="7"/>
    </row>
    <row r="541" spans="1:13" ht="12" customHeight="1" x14ac:dyDescent="0.25">
      <c r="A541" s="4"/>
      <c r="B541" s="4"/>
      <c r="C541" s="10"/>
      <c r="D541" s="7"/>
      <c r="E541" s="7"/>
      <c r="F541" s="7">
        <f t="shared" si="25"/>
        <v>0</v>
      </c>
      <c r="G541" s="7"/>
      <c r="H541" s="11"/>
      <c r="I541" s="11"/>
      <c r="J541" s="7"/>
      <c r="K541" s="7"/>
      <c r="L541" s="7"/>
      <c r="M541" s="7"/>
    </row>
    <row r="542" spans="1:13" ht="12" customHeight="1" x14ac:dyDescent="0.25">
      <c r="A542" s="4"/>
      <c r="B542" s="4"/>
      <c r="C542" s="10"/>
      <c r="D542" s="7"/>
      <c r="E542" s="7"/>
      <c r="F542" s="7">
        <f t="shared" si="25"/>
        <v>0</v>
      </c>
      <c r="G542" s="7"/>
      <c r="H542" s="11"/>
      <c r="I542" s="11"/>
      <c r="J542" s="7"/>
      <c r="K542" s="7"/>
      <c r="L542" s="7"/>
      <c r="M542" s="7"/>
    </row>
    <row r="543" spans="1:13" ht="12" customHeight="1" x14ac:dyDescent="0.25">
      <c r="A543" s="4"/>
      <c r="B543" s="4"/>
      <c r="C543" s="10"/>
      <c r="D543" s="7"/>
      <c r="E543" s="7"/>
      <c r="F543" s="7">
        <f t="shared" si="25"/>
        <v>0</v>
      </c>
      <c r="G543" s="7"/>
      <c r="H543" s="11"/>
      <c r="I543" s="11"/>
      <c r="J543" s="7"/>
      <c r="K543" s="7"/>
      <c r="L543" s="7"/>
      <c r="M543" s="7"/>
    </row>
    <row r="544" spans="1:13" ht="12" customHeight="1" x14ac:dyDescent="0.25">
      <c r="A544" s="4"/>
      <c r="B544" s="4"/>
      <c r="C544" s="10"/>
      <c r="D544" s="7"/>
      <c r="E544" s="7"/>
      <c r="F544" s="7">
        <f t="shared" si="25"/>
        <v>0</v>
      </c>
      <c r="G544" s="7"/>
      <c r="H544" s="11"/>
      <c r="I544" s="11"/>
      <c r="J544" s="7"/>
      <c r="K544" s="7"/>
      <c r="L544" s="7"/>
      <c r="M544" s="7"/>
    </row>
    <row r="545" spans="1:13" ht="12" customHeight="1" x14ac:dyDescent="0.25">
      <c r="A545" s="4"/>
      <c r="B545" s="4"/>
      <c r="C545" s="10"/>
      <c r="D545" s="7"/>
      <c r="E545" s="7"/>
      <c r="F545" s="7">
        <f t="shared" si="25"/>
        <v>0</v>
      </c>
      <c r="G545" s="7"/>
      <c r="H545" s="11"/>
      <c r="I545" s="11"/>
      <c r="J545" s="7"/>
      <c r="K545" s="7"/>
      <c r="L545" s="7"/>
      <c r="M545" s="7"/>
    </row>
    <row r="546" spans="1:13" ht="12" customHeight="1" x14ac:dyDescent="0.25">
      <c r="A546" s="4"/>
      <c r="B546" s="4"/>
      <c r="C546" s="10"/>
      <c r="D546" s="7"/>
      <c r="E546" s="7"/>
      <c r="F546" s="7">
        <f t="shared" si="25"/>
        <v>0</v>
      </c>
      <c r="G546" s="7"/>
      <c r="H546" s="11"/>
      <c r="I546" s="11"/>
      <c r="J546" s="7"/>
      <c r="K546" s="7"/>
      <c r="L546" s="7"/>
      <c r="M546" s="7"/>
    </row>
    <row r="547" spans="1:13" ht="12" customHeight="1" x14ac:dyDescent="0.25">
      <c r="A547" s="4"/>
      <c r="B547" s="4"/>
      <c r="C547" s="10"/>
      <c r="D547" s="7"/>
      <c r="E547" s="7"/>
      <c r="F547" s="7">
        <f t="shared" si="25"/>
        <v>0</v>
      </c>
      <c r="G547" s="7"/>
      <c r="H547" s="11"/>
      <c r="I547" s="11"/>
      <c r="J547" s="7"/>
      <c r="K547" s="7"/>
      <c r="L547" s="7"/>
      <c r="M547" s="7"/>
    </row>
    <row r="548" spans="1:13" ht="12" customHeight="1" x14ac:dyDescent="0.25">
      <c r="A548" s="4"/>
      <c r="B548" s="4"/>
      <c r="C548" s="10"/>
      <c r="D548" s="7"/>
      <c r="E548" s="7"/>
      <c r="F548" s="7">
        <f t="shared" si="25"/>
        <v>0</v>
      </c>
      <c r="G548" s="7"/>
      <c r="H548" s="11"/>
      <c r="I548" s="11"/>
      <c r="J548" s="7"/>
      <c r="K548" s="7"/>
      <c r="L548" s="7"/>
      <c r="M548" s="7"/>
    </row>
    <row r="549" spans="1:13" ht="12" customHeight="1" x14ac:dyDescent="0.25">
      <c r="A549" s="4"/>
      <c r="B549" s="4"/>
      <c r="C549" s="10"/>
      <c r="D549" s="7"/>
      <c r="E549" s="7"/>
      <c r="F549" s="7">
        <f t="shared" ref="F549:F612" si="26">(D549*E549)</f>
        <v>0</v>
      </c>
      <c r="G549" s="7"/>
      <c r="H549" s="11"/>
      <c r="I549" s="11"/>
      <c r="J549" s="7"/>
      <c r="K549" s="7"/>
      <c r="L549" s="7"/>
      <c r="M549" s="7"/>
    </row>
    <row r="550" spans="1:13" ht="12" customHeight="1" x14ac:dyDescent="0.25">
      <c r="A550" s="4"/>
      <c r="B550" s="4"/>
      <c r="C550" s="10"/>
      <c r="D550" s="7"/>
      <c r="E550" s="7"/>
      <c r="F550" s="7">
        <f t="shared" si="26"/>
        <v>0</v>
      </c>
      <c r="G550" s="7"/>
      <c r="H550" s="11"/>
      <c r="I550" s="11"/>
      <c r="J550" s="7"/>
      <c r="K550" s="7"/>
      <c r="L550" s="7"/>
      <c r="M550" s="7"/>
    </row>
    <row r="551" spans="1:13" ht="12" customHeight="1" x14ac:dyDescent="0.25">
      <c r="A551" s="4"/>
      <c r="B551" s="4"/>
      <c r="C551" s="10"/>
      <c r="D551" s="7"/>
      <c r="E551" s="7"/>
      <c r="F551" s="7">
        <f t="shared" si="26"/>
        <v>0</v>
      </c>
      <c r="G551" s="7"/>
      <c r="H551" s="11"/>
      <c r="I551" s="11"/>
      <c r="J551" s="7"/>
      <c r="K551" s="7"/>
      <c r="L551" s="7"/>
      <c r="M551" s="7"/>
    </row>
    <row r="552" spans="1:13" ht="12" customHeight="1" x14ac:dyDescent="0.25">
      <c r="A552" s="4"/>
      <c r="B552" s="4"/>
      <c r="C552" s="10"/>
      <c r="D552" s="7"/>
      <c r="E552" s="7"/>
      <c r="F552" s="7">
        <f t="shared" si="26"/>
        <v>0</v>
      </c>
      <c r="G552" s="7"/>
      <c r="H552" s="11"/>
      <c r="I552" s="11"/>
      <c r="J552" s="7"/>
      <c r="K552" s="7"/>
      <c r="L552" s="7"/>
      <c r="M552" s="7"/>
    </row>
    <row r="553" spans="1:13" ht="12" customHeight="1" x14ac:dyDescent="0.25">
      <c r="A553" s="4"/>
      <c r="B553" s="4"/>
      <c r="C553" s="10"/>
      <c r="D553" s="7"/>
      <c r="E553" s="7"/>
      <c r="F553" s="7">
        <f t="shared" si="26"/>
        <v>0</v>
      </c>
      <c r="G553" s="7"/>
      <c r="H553" s="11"/>
      <c r="I553" s="11"/>
      <c r="J553" s="7"/>
      <c r="K553" s="7"/>
      <c r="L553" s="7"/>
      <c r="M553" s="7"/>
    </row>
    <row r="554" spans="1:13" ht="12" customHeight="1" x14ac:dyDescent="0.25">
      <c r="A554" s="4"/>
      <c r="B554" s="4"/>
      <c r="C554" s="10"/>
      <c r="D554" s="7"/>
      <c r="E554" s="7"/>
      <c r="F554" s="7">
        <f t="shared" si="26"/>
        <v>0</v>
      </c>
      <c r="G554" s="7"/>
      <c r="H554" s="11"/>
      <c r="I554" s="11"/>
      <c r="J554" s="7"/>
      <c r="K554" s="7"/>
      <c r="L554" s="7"/>
      <c r="M554" s="7"/>
    </row>
    <row r="555" spans="1:13" ht="12" customHeight="1" x14ac:dyDescent="0.25">
      <c r="A555" s="4"/>
      <c r="B555" s="4"/>
      <c r="C555" s="10"/>
      <c r="D555" s="7"/>
      <c r="E555" s="7"/>
      <c r="F555" s="7">
        <f t="shared" si="26"/>
        <v>0</v>
      </c>
      <c r="G555" s="7"/>
      <c r="H555" s="11"/>
      <c r="I555" s="11"/>
      <c r="J555" s="7"/>
      <c r="K555" s="7"/>
      <c r="L555" s="7"/>
      <c r="M555" s="7"/>
    </row>
    <row r="556" spans="1:13" ht="12" customHeight="1" x14ac:dyDescent="0.25">
      <c r="A556" s="4"/>
      <c r="B556" s="4"/>
      <c r="C556" s="10"/>
      <c r="D556" s="7"/>
      <c r="E556" s="7"/>
      <c r="F556" s="7">
        <f t="shared" si="26"/>
        <v>0</v>
      </c>
      <c r="G556" s="7"/>
      <c r="H556" s="11"/>
      <c r="I556" s="11"/>
      <c r="J556" s="7"/>
      <c r="K556" s="7"/>
      <c r="L556" s="7"/>
      <c r="M556" s="7"/>
    </row>
    <row r="557" spans="1:13" ht="12" customHeight="1" x14ac:dyDescent="0.25">
      <c r="A557" s="4"/>
      <c r="B557" s="4"/>
      <c r="C557" s="10"/>
      <c r="D557" s="7"/>
      <c r="E557" s="7"/>
      <c r="F557" s="7">
        <f t="shared" si="26"/>
        <v>0</v>
      </c>
      <c r="G557" s="7"/>
      <c r="H557" s="11"/>
      <c r="I557" s="11"/>
      <c r="J557" s="7"/>
      <c r="K557" s="7"/>
      <c r="L557" s="7"/>
      <c r="M557" s="7"/>
    </row>
    <row r="558" spans="1:13" ht="12" customHeight="1" x14ac:dyDescent="0.25">
      <c r="A558" s="4"/>
      <c r="B558" s="4"/>
      <c r="C558" s="10"/>
      <c r="D558" s="7"/>
      <c r="E558" s="7"/>
      <c r="F558" s="7">
        <f t="shared" si="26"/>
        <v>0</v>
      </c>
      <c r="G558" s="7"/>
      <c r="H558" s="11"/>
      <c r="I558" s="11"/>
      <c r="J558" s="7"/>
      <c r="K558" s="7"/>
      <c r="L558" s="7"/>
      <c r="M558" s="7"/>
    </row>
    <row r="559" spans="1:13" ht="12" customHeight="1" x14ac:dyDescent="0.25">
      <c r="A559" s="4"/>
      <c r="B559" s="4"/>
      <c r="C559" s="10"/>
      <c r="D559" s="7"/>
      <c r="E559" s="7"/>
      <c r="F559" s="7">
        <f t="shared" si="26"/>
        <v>0</v>
      </c>
      <c r="G559" s="7"/>
      <c r="H559" s="11"/>
      <c r="I559" s="11"/>
      <c r="J559" s="7"/>
      <c r="K559" s="7"/>
      <c r="L559" s="7"/>
      <c r="M559" s="7"/>
    </row>
    <row r="560" spans="1:13" ht="12" customHeight="1" x14ac:dyDescent="0.25">
      <c r="A560" s="4"/>
      <c r="B560" s="4"/>
      <c r="C560" s="10"/>
      <c r="D560" s="7"/>
      <c r="E560" s="7"/>
      <c r="F560" s="7">
        <f t="shared" si="26"/>
        <v>0</v>
      </c>
      <c r="G560" s="7"/>
      <c r="H560" s="11"/>
      <c r="I560" s="11"/>
      <c r="J560" s="7"/>
      <c r="K560" s="7"/>
      <c r="L560" s="7"/>
      <c r="M560" s="7"/>
    </row>
    <row r="561" spans="1:13" ht="12" customHeight="1" x14ac:dyDescent="0.25">
      <c r="A561" s="4"/>
      <c r="B561" s="4"/>
      <c r="C561" s="10"/>
      <c r="D561" s="7"/>
      <c r="E561" s="7"/>
      <c r="F561" s="7">
        <f t="shared" si="26"/>
        <v>0</v>
      </c>
      <c r="G561" s="7"/>
      <c r="H561" s="11"/>
      <c r="I561" s="11"/>
      <c r="J561" s="7"/>
      <c r="K561" s="7"/>
      <c r="L561" s="7"/>
      <c r="M561" s="7"/>
    </row>
    <row r="562" spans="1:13" ht="12" customHeight="1" x14ac:dyDescent="0.25">
      <c r="A562" s="4"/>
      <c r="B562" s="4"/>
      <c r="C562" s="10"/>
      <c r="D562" s="7"/>
      <c r="E562" s="7"/>
      <c r="F562" s="7">
        <f t="shared" si="26"/>
        <v>0</v>
      </c>
      <c r="G562" s="7"/>
      <c r="H562" s="11"/>
      <c r="I562" s="11"/>
      <c r="J562" s="7"/>
      <c r="K562" s="7"/>
      <c r="L562" s="7"/>
      <c r="M562" s="7"/>
    </row>
    <row r="563" spans="1:13" ht="12" customHeight="1" x14ac:dyDescent="0.25">
      <c r="A563" s="4"/>
      <c r="B563" s="4"/>
      <c r="C563" s="10"/>
      <c r="D563" s="7"/>
      <c r="E563" s="7"/>
      <c r="F563" s="7">
        <f t="shared" si="26"/>
        <v>0</v>
      </c>
      <c r="G563" s="7"/>
      <c r="H563" s="11"/>
      <c r="I563" s="11"/>
      <c r="J563" s="7"/>
      <c r="K563" s="7"/>
      <c r="L563" s="7"/>
      <c r="M563" s="7"/>
    </row>
    <row r="564" spans="1:13" ht="12" customHeight="1" x14ac:dyDescent="0.25">
      <c r="A564" s="4"/>
      <c r="B564" s="4"/>
      <c r="C564" s="10"/>
      <c r="D564" s="7"/>
      <c r="E564" s="7"/>
      <c r="F564" s="7">
        <f t="shared" si="26"/>
        <v>0</v>
      </c>
      <c r="G564" s="7"/>
      <c r="H564" s="11"/>
      <c r="I564" s="11"/>
      <c r="J564" s="7"/>
      <c r="K564" s="7"/>
      <c r="L564" s="7"/>
      <c r="M564" s="7"/>
    </row>
    <row r="565" spans="1:13" ht="12" customHeight="1" x14ac:dyDescent="0.25">
      <c r="A565" s="4"/>
      <c r="B565" s="4"/>
      <c r="C565" s="10"/>
      <c r="D565" s="7"/>
      <c r="E565" s="7"/>
      <c r="F565" s="7">
        <f t="shared" si="26"/>
        <v>0</v>
      </c>
      <c r="G565" s="7"/>
      <c r="H565" s="11"/>
      <c r="I565" s="11"/>
      <c r="J565" s="7"/>
      <c r="K565" s="7"/>
      <c r="L565" s="7"/>
      <c r="M565" s="7"/>
    </row>
    <row r="566" spans="1:13" ht="12" customHeight="1" x14ac:dyDescent="0.25">
      <c r="A566" s="4"/>
      <c r="B566" s="4"/>
      <c r="C566" s="10"/>
      <c r="D566" s="7"/>
      <c r="E566" s="7"/>
      <c r="F566" s="7">
        <f t="shared" si="26"/>
        <v>0</v>
      </c>
      <c r="G566" s="7"/>
      <c r="H566" s="11"/>
      <c r="I566" s="11"/>
      <c r="J566" s="7"/>
      <c r="K566" s="7"/>
      <c r="L566" s="7"/>
      <c r="M566" s="7"/>
    </row>
    <row r="567" spans="1:13" ht="12" customHeight="1" x14ac:dyDescent="0.25">
      <c r="A567" s="4"/>
      <c r="B567" s="4"/>
      <c r="C567" s="10"/>
      <c r="D567" s="7"/>
      <c r="E567" s="7"/>
      <c r="F567" s="7">
        <f t="shared" si="26"/>
        <v>0</v>
      </c>
      <c r="G567" s="7"/>
      <c r="H567" s="11"/>
      <c r="I567" s="11"/>
      <c r="J567" s="7"/>
      <c r="K567" s="7"/>
      <c r="L567" s="7"/>
      <c r="M567" s="7"/>
    </row>
    <row r="568" spans="1:13" ht="12" customHeight="1" x14ac:dyDescent="0.25">
      <c r="A568" s="4"/>
      <c r="B568" s="4"/>
      <c r="C568" s="10"/>
      <c r="D568" s="7"/>
      <c r="E568" s="7"/>
      <c r="F568" s="7">
        <f t="shared" si="26"/>
        <v>0</v>
      </c>
      <c r="G568" s="7"/>
      <c r="H568" s="11"/>
      <c r="I568" s="11"/>
      <c r="J568" s="7"/>
      <c r="K568" s="7"/>
      <c r="L568" s="7"/>
      <c r="M568" s="7"/>
    </row>
    <row r="569" spans="1:13" ht="12" customHeight="1" x14ac:dyDescent="0.25">
      <c r="A569" s="4"/>
      <c r="B569" s="4"/>
      <c r="C569" s="10"/>
      <c r="D569" s="7"/>
      <c r="E569" s="7"/>
      <c r="F569" s="7">
        <f t="shared" si="26"/>
        <v>0</v>
      </c>
      <c r="G569" s="7"/>
      <c r="H569" s="11"/>
      <c r="I569" s="11"/>
      <c r="J569" s="7"/>
      <c r="K569" s="7"/>
      <c r="L569" s="7"/>
      <c r="M569" s="7"/>
    </row>
    <row r="570" spans="1:13" ht="12" customHeight="1" x14ac:dyDescent="0.25">
      <c r="A570" s="4"/>
      <c r="B570" s="4"/>
      <c r="C570" s="10"/>
      <c r="D570" s="7"/>
      <c r="E570" s="7"/>
      <c r="F570" s="7">
        <f t="shared" si="26"/>
        <v>0</v>
      </c>
      <c r="G570" s="7"/>
      <c r="H570" s="11"/>
      <c r="I570" s="11"/>
      <c r="J570" s="7"/>
      <c r="K570" s="7"/>
      <c r="L570" s="7"/>
      <c r="M570" s="7"/>
    </row>
    <row r="571" spans="1:13" ht="12" customHeight="1" x14ac:dyDescent="0.25">
      <c r="A571" s="4"/>
      <c r="B571" s="4"/>
      <c r="C571" s="10"/>
      <c r="D571" s="7"/>
      <c r="E571" s="7"/>
      <c r="F571" s="7">
        <f t="shared" si="26"/>
        <v>0</v>
      </c>
      <c r="G571" s="7"/>
      <c r="H571" s="11"/>
      <c r="I571" s="11"/>
      <c r="J571" s="7"/>
      <c r="K571" s="7"/>
      <c r="L571" s="7"/>
      <c r="M571" s="7"/>
    </row>
    <row r="572" spans="1:13" ht="12" customHeight="1" x14ac:dyDescent="0.25">
      <c r="A572" s="4"/>
      <c r="B572" s="4"/>
      <c r="C572" s="10"/>
      <c r="D572" s="7"/>
      <c r="E572" s="7"/>
      <c r="F572" s="7">
        <f t="shared" si="26"/>
        <v>0</v>
      </c>
      <c r="G572" s="7"/>
      <c r="H572" s="11"/>
      <c r="I572" s="11"/>
      <c r="J572" s="7"/>
      <c r="K572" s="7"/>
      <c r="L572" s="7"/>
      <c r="M572" s="7"/>
    </row>
    <row r="573" spans="1:13" ht="12" customHeight="1" x14ac:dyDescent="0.25">
      <c r="A573" s="4"/>
      <c r="B573" s="4"/>
      <c r="C573" s="10"/>
      <c r="D573" s="7"/>
      <c r="E573" s="7"/>
      <c r="F573" s="7">
        <f t="shared" si="26"/>
        <v>0</v>
      </c>
      <c r="G573" s="7"/>
      <c r="H573" s="11"/>
      <c r="I573" s="11"/>
      <c r="J573" s="7"/>
      <c r="K573" s="7"/>
      <c r="L573" s="7"/>
      <c r="M573" s="7"/>
    </row>
    <row r="574" spans="1:13" ht="12" customHeight="1" x14ac:dyDescent="0.25">
      <c r="A574" s="4"/>
      <c r="B574" s="4"/>
      <c r="C574" s="10"/>
      <c r="D574" s="7"/>
      <c r="E574" s="7"/>
      <c r="F574" s="7">
        <f t="shared" si="26"/>
        <v>0</v>
      </c>
      <c r="G574" s="7"/>
      <c r="H574" s="11"/>
      <c r="I574" s="11"/>
      <c r="J574" s="7"/>
      <c r="K574" s="7"/>
      <c r="L574" s="7"/>
      <c r="M574" s="7"/>
    </row>
    <row r="575" spans="1:13" ht="12" customHeight="1" x14ac:dyDescent="0.25">
      <c r="A575" s="4"/>
      <c r="B575" s="4"/>
      <c r="C575" s="10"/>
      <c r="D575" s="7"/>
      <c r="E575" s="7"/>
      <c r="F575" s="7">
        <f t="shared" si="26"/>
        <v>0</v>
      </c>
      <c r="G575" s="7"/>
      <c r="H575" s="11"/>
      <c r="I575" s="11"/>
      <c r="J575" s="7"/>
      <c r="K575" s="7"/>
      <c r="L575" s="7"/>
      <c r="M575" s="7"/>
    </row>
    <row r="576" spans="1:13" ht="12" customHeight="1" x14ac:dyDescent="0.25">
      <c r="A576" s="4"/>
      <c r="B576" s="4"/>
      <c r="C576" s="10"/>
      <c r="D576" s="7"/>
      <c r="E576" s="7"/>
      <c r="F576" s="7">
        <f t="shared" si="26"/>
        <v>0</v>
      </c>
      <c r="G576" s="7"/>
      <c r="H576" s="11"/>
      <c r="I576" s="11"/>
      <c r="J576" s="7"/>
      <c r="K576" s="7"/>
      <c r="L576" s="7"/>
      <c r="M576" s="7"/>
    </row>
    <row r="577" spans="1:13" ht="12" customHeight="1" x14ac:dyDescent="0.25">
      <c r="A577" s="4"/>
      <c r="B577" s="4"/>
      <c r="C577" s="10"/>
      <c r="D577" s="7"/>
      <c r="E577" s="7"/>
      <c r="F577" s="7">
        <f t="shared" si="26"/>
        <v>0</v>
      </c>
      <c r="G577" s="7"/>
      <c r="H577" s="11"/>
      <c r="I577" s="11"/>
      <c r="J577" s="7"/>
      <c r="K577" s="7"/>
      <c r="L577" s="7"/>
      <c r="M577" s="7"/>
    </row>
    <row r="578" spans="1:13" ht="12" customHeight="1" x14ac:dyDescent="0.25">
      <c r="A578" s="4"/>
      <c r="B578" s="4"/>
      <c r="C578" s="10"/>
      <c r="D578" s="7"/>
      <c r="E578" s="7"/>
      <c r="F578" s="7">
        <f t="shared" si="26"/>
        <v>0</v>
      </c>
      <c r="G578" s="7"/>
      <c r="H578" s="11"/>
      <c r="I578" s="11"/>
      <c r="J578" s="7"/>
      <c r="K578" s="7"/>
      <c r="L578" s="7"/>
      <c r="M578" s="7"/>
    </row>
    <row r="579" spans="1:13" ht="12" customHeight="1" x14ac:dyDescent="0.25">
      <c r="A579" s="4"/>
      <c r="B579" s="4"/>
      <c r="C579" s="10"/>
      <c r="D579" s="7"/>
      <c r="E579" s="7"/>
      <c r="F579" s="7">
        <f t="shared" si="26"/>
        <v>0</v>
      </c>
      <c r="G579" s="7"/>
      <c r="H579" s="11"/>
      <c r="I579" s="11"/>
      <c r="J579" s="7"/>
      <c r="K579" s="7"/>
      <c r="L579" s="7"/>
      <c r="M579" s="7"/>
    </row>
    <row r="580" spans="1:13" ht="12" customHeight="1" x14ac:dyDescent="0.25">
      <c r="A580" s="4"/>
      <c r="B580" s="4"/>
      <c r="C580" s="10"/>
      <c r="D580" s="7"/>
      <c r="E580" s="7"/>
      <c r="F580" s="7">
        <f t="shared" si="26"/>
        <v>0</v>
      </c>
      <c r="G580" s="7"/>
      <c r="H580" s="11"/>
      <c r="I580" s="11"/>
      <c r="J580" s="7"/>
      <c r="K580" s="7"/>
      <c r="L580" s="7"/>
      <c r="M580" s="7"/>
    </row>
    <row r="581" spans="1:13" ht="12" customHeight="1" x14ac:dyDescent="0.25">
      <c r="A581" s="4"/>
      <c r="B581" s="4"/>
      <c r="C581" s="10"/>
      <c r="D581" s="7"/>
      <c r="E581" s="7"/>
      <c r="F581" s="7">
        <f t="shared" si="26"/>
        <v>0</v>
      </c>
      <c r="G581" s="7"/>
      <c r="H581" s="11"/>
      <c r="I581" s="11"/>
      <c r="J581" s="7"/>
      <c r="K581" s="7"/>
      <c r="L581" s="7"/>
      <c r="M581" s="7"/>
    </row>
    <row r="582" spans="1:13" ht="12" customHeight="1" x14ac:dyDescent="0.25">
      <c r="A582" s="4"/>
      <c r="B582" s="4"/>
      <c r="C582" s="10"/>
      <c r="D582" s="7"/>
      <c r="E582" s="7"/>
      <c r="F582" s="7">
        <f t="shared" si="26"/>
        <v>0</v>
      </c>
      <c r="G582" s="7"/>
      <c r="H582" s="11"/>
      <c r="I582" s="11"/>
      <c r="J582" s="7"/>
      <c r="K582" s="7"/>
      <c r="L582" s="7"/>
      <c r="M582" s="7"/>
    </row>
    <row r="583" spans="1:13" ht="12" customHeight="1" x14ac:dyDescent="0.25">
      <c r="A583" s="4"/>
      <c r="B583" s="4"/>
      <c r="C583" s="10"/>
      <c r="D583" s="7"/>
      <c r="E583" s="7"/>
      <c r="F583" s="7">
        <f t="shared" si="26"/>
        <v>0</v>
      </c>
      <c r="G583" s="7"/>
      <c r="H583" s="11"/>
      <c r="I583" s="11"/>
      <c r="J583" s="7"/>
      <c r="K583" s="7"/>
      <c r="L583" s="7"/>
      <c r="M583" s="7"/>
    </row>
    <row r="584" spans="1:13" ht="12" customHeight="1" x14ac:dyDescent="0.25">
      <c r="A584" s="4"/>
      <c r="B584" s="4"/>
      <c r="C584" s="10"/>
      <c r="D584" s="7"/>
      <c r="E584" s="7"/>
      <c r="F584" s="7">
        <f t="shared" si="26"/>
        <v>0</v>
      </c>
      <c r="G584" s="7"/>
      <c r="H584" s="11"/>
      <c r="I584" s="11"/>
      <c r="J584" s="7"/>
      <c r="K584" s="7"/>
      <c r="L584" s="7"/>
      <c r="M584" s="7"/>
    </row>
    <row r="585" spans="1:13" ht="12" customHeight="1" x14ac:dyDescent="0.25">
      <c r="A585" s="4"/>
      <c r="B585" s="4"/>
      <c r="C585" s="10"/>
      <c r="D585" s="7"/>
      <c r="E585" s="7"/>
      <c r="F585" s="7">
        <f t="shared" si="26"/>
        <v>0</v>
      </c>
      <c r="G585" s="7"/>
      <c r="H585" s="11"/>
      <c r="I585" s="11"/>
      <c r="J585" s="7"/>
      <c r="K585" s="7"/>
      <c r="L585" s="7"/>
      <c r="M585" s="7"/>
    </row>
    <row r="586" spans="1:13" ht="12" customHeight="1" x14ac:dyDescent="0.25">
      <c r="A586" s="4"/>
      <c r="B586" s="4"/>
      <c r="C586" s="10"/>
      <c r="D586" s="7"/>
      <c r="E586" s="7"/>
      <c r="F586" s="7">
        <f t="shared" si="26"/>
        <v>0</v>
      </c>
      <c r="G586" s="7"/>
      <c r="H586" s="11"/>
      <c r="I586" s="11"/>
      <c r="J586" s="7"/>
      <c r="K586" s="7"/>
      <c r="L586" s="7"/>
      <c r="M586" s="7"/>
    </row>
    <row r="587" spans="1:13" ht="12" customHeight="1" x14ac:dyDescent="0.25">
      <c r="A587" s="4"/>
      <c r="B587" s="4"/>
      <c r="C587" s="10"/>
      <c r="D587" s="7"/>
      <c r="E587" s="7"/>
      <c r="F587" s="7">
        <f t="shared" si="26"/>
        <v>0</v>
      </c>
      <c r="G587" s="7"/>
      <c r="H587" s="11"/>
      <c r="I587" s="11"/>
      <c r="J587" s="7"/>
      <c r="K587" s="7"/>
      <c r="L587" s="7"/>
      <c r="M587" s="7"/>
    </row>
    <row r="588" spans="1:13" ht="12" customHeight="1" x14ac:dyDescent="0.25">
      <c r="A588" s="4"/>
      <c r="B588" s="4"/>
      <c r="C588" s="10"/>
      <c r="D588" s="7"/>
      <c r="E588" s="7"/>
      <c r="F588" s="7">
        <f t="shared" si="26"/>
        <v>0</v>
      </c>
      <c r="G588" s="7"/>
      <c r="H588" s="11"/>
      <c r="I588" s="11"/>
      <c r="J588" s="7"/>
      <c r="K588" s="7"/>
      <c r="L588" s="7"/>
      <c r="M588" s="7"/>
    </row>
    <row r="589" spans="1:13" ht="12" customHeight="1" x14ac:dyDescent="0.25">
      <c r="A589" s="4"/>
      <c r="B589" s="4"/>
      <c r="C589" s="10"/>
      <c r="D589" s="7"/>
      <c r="E589" s="7"/>
      <c r="F589" s="7">
        <f t="shared" si="26"/>
        <v>0</v>
      </c>
      <c r="G589" s="7"/>
      <c r="H589" s="11"/>
      <c r="I589" s="11"/>
      <c r="J589" s="7"/>
      <c r="K589" s="7"/>
      <c r="L589" s="7"/>
      <c r="M589" s="7"/>
    </row>
    <row r="590" spans="1:13" ht="12" customHeight="1" x14ac:dyDescent="0.25">
      <c r="A590" s="4"/>
      <c r="B590" s="4"/>
      <c r="C590" s="10"/>
      <c r="D590" s="7"/>
      <c r="E590" s="7"/>
      <c r="F590" s="7">
        <f t="shared" si="26"/>
        <v>0</v>
      </c>
      <c r="G590" s="7"/>
      <c r="H590" s="11"/>
      <c r="I590" s="11"/>
      <c r="J590" s="7"/>
      <c r="K590" s="7"/>
      <c r="L590" s="7"/>
      <c r="M590" s="7"/>
    </row>
    <row r="591" spans="1:13" ht="12" customHeight="1" x14ac:dyDescent="0.25">
      <c r="A591" s="4"/>
      <c r="B591" s="4"/>
      <c r="C591" s="10"/>
      <c r="D591" s="7"/>
      <c r="E591" s="7"/>
      <c r="F591" s="7">
        <f t="shared" si="26"/>
        <v>0</v>
      </c>
      <c r="G591" s="7"/>
      <c r="H591" s="11"/>
      <c r="I591" s="11"/>
      <c r="J591" s="7"/>
      <c r="K591" s="7"/>
      <c r="L591" s="7"/>
      <c r="M591" s="7"/>
    </row>
    <row r="592" spans="1:13" ht="12" customHeight="1" x14ac:dyDescent="0.25">
      <c r="A592" s="4"/>
      <c r="B592" s="4"/>
      <c r="C592" s="10"/>
      <c r="D592" s="7"/>
      <c r="E592" s="7"/>
      <c r="F592" s="7">
        <f t="shared" si="26"/>
        <v>0</v>
      </c>
      <c r="G592" s="7"/>
      <c r="H592" s="11"/>
      <c r="I592" s="11"/>
      <c r="J592" s="7"/>
      <c r="K592" s="7"/>
      <c r="L592" s="7"/>
      <c r="M592" s="7"/>
    </row>
    <row r="593" spans="1:13" ht="12" customHeight="1" x14ac:dyDescent="0.25">
      <c r="A593" s="4"/>
      <c r="B593" s="4"/>
      <c r="C593" s="10"/>
      <c r="D593" s="7"/>
      <c r="E593" s="7"/>
      <c r="F593" s="7">
        <f t="shared" si="26"/>
        <v>0</v>
      </c>
      <c r="G593" s="7"/>
      <c r="H593" s="11"/>
      <c r="I593" s="11"/>
      <c r="J593" s="7"/>
      <c r="K593" s="7"/>
      <c r="L593" s="7"/>
      <c r="M593" s="7"/>
    </row>
    <row r="594" spans="1:13" ht="12" customHeight="1" x14ac:dyDescent="0.25">
      <c r="A594" s="4"/>
      <c r="B594" s="4"/>
      <c r="C594" s="10"/>
      <c r="D594" s="7"/>
      <c r="E594" s="7"/>
      <c r="F594" s="7">
        <f t="shared" si="26"/>
        <v>0</v>
      </c>
      <c r="G594" s="7"/>
      <c r="H594" s="11"/>
      <c r="I594" s="11"/>
      <c r="J594" s="7"/>
      <c r="K594" s="7"/>
      <c r="L594" s="7"/>
      <c r="M594" s="7"/>
    </row>
    <row r="595" spans="1:13" ht="12" customHeight="1" x14ac:dyDescent="0.25">
      <c r="A595" s="4"/>
      <c r="B595" s="4"/>
      <c r="C595" s="10"/>
      <c r="D595" s="7"/>
      <c r="E595" s="7"/>
      <c r="F595" s="7">
        <f t="shared" si="26"/>
        <v>0</v>
      </c>
      <c r="G595" s="7"/>
      <c r="H595" s="11"/>
      <c r="I595" s="11"/>
      <c r="J595" s="7"/>
      <c r="K595" s="7"/>
      <c r="L595" s="7"/>
      <c r="M595" s="7"/>
    </row>
    <row r="596" spans="1:13" ht="12" customHeight="1" x14ac:dyDescent="0.25">
      <c r="A596" s="4"/>
      <c r="B596" s="4"/>
      <c r="C596" s="10"/>
      <c r="D596" s="7"/>
      <c r="E596" s="7"/>
      <c r="F596" s="7">
        <f t="shared" si="26"/>
        <v>0</v>
      </c>
      <c r="G596" s="7"/>
      <c r="H596" s="11"/>
      <c r="I596" s="11"/>
      <c r="J596" s="7"/>
      <c r="K596" s="7"/>
      <c r="L596" s="7"/>
      <c r="M596" s="7"/>
    </row>
    <row r="597" spans="1:13" ht="12" customHeight="1" x14ac:dyDescent="0.25">
      <c r="A597" s="4"/>
      <c r="B597" s="4"/>
      <c r="C597" s="10"/>
      <c r="D597" s="7"/>
      <c r="E597" s="7"/>
      <c r="F597" s="7">
        <f t="shared" si="26"/>
        <v>0</v>
      </c>
      <c r="G597" s="7"/>
      <c r="H597" s="11"/>
      <c r="I597" s="11"/>
      <c r="J597" s="7"/>
      <c r="K597" s="7"/>
      <c r="L597" s="7"/>
      <c r="M597" s="7"/>
    </row>
    <row r="598" spans="1:13" ht="12" customHeight="1" x14ac:dyDescent="0.25">
      <c r="A598" s="4"/>
      <c r="B598" s="4"/>
      <c r="C598" s="10"/>
      <c r="D598" s="7"/>
      <c r="E598" s="7"/>
      <c r="F598" s="7">
        <f t="shared" si="26"/>
        <v>0</v>
      </c>
      <c r="G598" s="7"/>
      <c r="H598" s="11"/>
      <c r="I598" s="11"/>
      <c r="J598" s="7"/>
      <c r="K598" s="7"/>
      <c r="L598" s="7"/>
      <c r="M598" s="7"/>
    </row>
    <row r="599" spans="1:13" ht="12" customHeight="1" x14ac:dyDescent="0.25">
      <c r="A599" s="4"/>
      <c r="B599" s="4"/>
      <c r="C599" s="10"/>
      <c r="D599" s="7"/>
      <c r="E599" s="7"/>
      <c r="F599" s="7">
        <f t="shared" si="26"/>
        <v>0</v>
      </c>
      <c r="G599" s="7"/>
      <c r="H599" s="11"/>
      <c r="I599" s="11"/>
      <c r="J599" s="7"/>
      <c r="K599" s="7"/>
      <c r="L599" s="7"/>
      <c r="M599" s="7"/>
    </row>
    <row r="600" spans="1:13" ht="12" customHeight="1" x14ac:dyDescent="0.25">
      <c r="A600" s="4"/>
      <c r="B600" s="4"/>
      <c r="C600" s="10"/>
      <c r="D600" s="7"/>
      <c r="E600" s="7"/>
      <c r="F600" s="7">
        <f t="shared" si="26"/>
        <v>0</v>
      </c>
      <c r="G600" s="7"/>
      <c r="H600" s="11"/>
      <c r="I600" s="11"/>
      <c r="J600" s="7"/>
      <c r="K600" s="7"/>
      <c r="L600" s="7"/>
      <c r="M600" s="7"/>
    </row>
    <row r="601" spans="1:13" ht="12" customHeight="1" x14ac:dyDescent="0.25">
      <c r="A601" s="4"/>
      <c r="B601" s="4"/>
      <c r="C601" s="10"/>
      <c r="D601" s="7"/>
      <c r="E601" s="7"/>
      <c r="F601" s="7">
        <f t="shared" si="26"/>
        <v>0</v>
      </c>
      <c r="G601" s="7"/>
      <c r="H601" s="11"/>
      <c r="I601" s="11"/>
      <c r="J601" s="7"/>
      <c r="K601" s="7"/>
      <c r="L601" s="7"/>
      <c r="M601" s="7"/>
    </row>
    <row r="602" spans="1:13" ht="12" customHeight="1" x14ac:dyDescent="0.25"/>
    <row r="603" spans="1:13" ht="12" customHeight="1" x14ac:dyDescent="0.25">
      <c r="A603" s="17" t="s">
        <v>463</v>
      </c>
      <c r="B603" s="19"/>
      <c r="C603" s="18"/>
      <c r="H603" s="20" t="s">
        <v>464</v>
      </c>
      <c r="I603" s="18"/>
    </row>
    <row r="604" spans="1:13" ht="12" customHeight="1" x14ac:dyDescent="0.25">
      <c r="B604" s="19"/>
      <c r="C604" s="18"/>
      <c r="I604" s="18"/>
    </row>
    <row r="605" spans="1:13" ht="12" customHeight="1" x14ac:dyDescent="0.25">
      <c r="B605" s="19"/>
      <c r="C605" s="18"/>
      <c r="I605" s="18"/>
    </row>
    <row r="606" spans="1:13" ht="12" customHeight="1" x14ac:dyDescent="0.25">
      <c r="C606" s="18"/>
      <c r="I606" s="18"/>
      <c r="K606" s="21"/>
      <c r="L606" s="21"/>
    </row>
    <row r="607" spans="1:13" ht="12" customHeight="1" x14ac:dyDescent="0.25">
      <c r="B607" s="19"/>
      <c r="C607" s="18"/>
      <c r="I607" s="18"/>
    </row>
    <row r="608" spans="1:13" ht="12" customHeight="1" x14ac:dyDescent="0.25">
      <c r="A608" s="17" t="s">
        <v>465</v>
      </c>
      <c r="B608" s="22"/>
      <c r="C608" s="18"/>
      <c r="I608" s="18"/>
      <c r="L608" s="18" t="s">
        <v>466</v>
      </c>
    </row>
    <row r="609" spans="1:10" ht="12" customHeight="1" x14ac:dyDescent="0.25">
      <c r="B609" s="19"/>
      <c r="C609" s="18"/>
      <c r="I609" s="18"/>
    </row>
    <row r="610" spans="1:10" ht="12" customHeight="1" x14ac:dyDescent="0.25">
      <c r="B610" s="19"/>
      <c r="C610" s="18"/>
      <c r="I610" s="18"/>
    </row>
    <row r="611" spans="1:10" ht="12" customHeight="1" x14ac:dyDescent="0.25">
      <c r="A611" s="17" t="s">
        <v>467</v>
      </c>
      <c r="B611" s="19"/>
      <c r="C611" s="18" t="s">
        <v>467</v>
      </c>
      <c r="I611" s="18"/>
      <c r="J611" s="18" t="s">
        <v>467</v>
      </c>
    </row>
    <row r="612" spans="1:10" ht="12" customHeight="1" x14ac:dyDescent="0.25">
      <c r="B612" s="19"/>
      <c r="C612" s="18"/>
      <c r="I612" s="18"/>
    </row>
    <row r="613" spans="1:10" ht="12" customHeight="1" x14ac:dyDescent="0.25">
      <c r="B613" s="19"/>
      <c r="C613" s="18"/>
      <c r="I613" s="18"/>
    </row>
    <row r="614" spans="1:10" ht="12" customHeight="1" x14ac:dyDescent="0.25">
      <c r="B614" s="19"/>
      <c r="C614" s="18"/>
      <c r="I614" s="18"/>
    </row>
    <row r="615" spans="1:10" ht="12" customHeight="1" x14ac:dyDescent="0.25"/>
    <row r="616" spans="1:10" ht="12" customHeight="1" x14ac:dyDescent="0.25"/>
    <row r="617" spans="1:10" ht="12" customHeight="1" x14ac:dyDescent="0.25"/>
    <row r="618" spans="1:10" ht="12" customHeight="1" x14ac:dyDescent="0.25"/>
    <row r="619" spans="1:10" ht="12" customHeight="1" x14ac:dyDescent="0.25"/>
    <row r="620" spans="1:10" ht="12" customHeight="1" x14ac:dyDescent="0.25"/>
    <row r="621" spans="1:10" ht="12" customHeight="1" x14ac:dyDescent="0.25"/>
    <row r="622" spans="1:10" ht="12" customHeight="1" x14ac:dyDescent="0.25"/>
    <row r="623" spans="1:10" ht="12" customHeight="1" x14ac:dyDescent="0.25"/>
    <row r="624" spans="1:10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</sheetData>
  <mergeCells count="28">
    <mergeCell ref="A514:M537"/>
    <mergeCell ref="K606:L606"/>
    <mergeCell ref="B503:C505"/>
    <mergeCell ref="G503:H504"/>
    <mergeCell ref="I503:M504"/>
    <mergeCell ref="G505:M513"/>
    <mergeCell ref="B506:C508"/>
    <mergeCell ref="A509:C513"/>
    <mergeCell ref="A499:C499"/>
    <mergeCell ref="G499:H500"/>
    <mergeCell ref="I499:M500"/>
    <mergeCell ref="B500:C502"/>
    <mergeCell ref="G501:H502"/>
    <mergeCell ref="I501:M502"/>
    <mergeCell ref="A491:M491"/>
    <mergeCell ref="A492:C494"/>
    <mergeCell ref="G492:M494"/>
    <mergeCell ref="A495:C495"/>
    <mergeCell ref="G495:M496"/>
    <mergeCell ref="A496:C498"/>
    <mergeCell ref="G497:H498"/>
    <mergeCell ref="I497:M498"/>
    <mergeCell ref="A1:M1"/>
    <mergeCell ref="A2:M2"/>
    <mergeCell ref="A487:M487"/>
    <mergeCell ref="A488:M488"/>
    <mergeCell ref="A489:M489"/>
    <mergeCell ref="A490:M490"/>
  </mergeCells>
  <conditionalFormatting sqref="B4:D484 K4:L484">
    <cfRule type="expression" dxfId="1" priority="1">
      <formula>COUNTIF(B:B,#REF!)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3"/>
  <sheetViews>
    <sheetView tabSelected="1" topLeftCell="A422" workbookViewId="0">
      <selection activeCell="A435" sqref="A435:M463"/>
    </sheetView>
  </sheetViews>
  <sheetFormatPr defaultRowHeight="15" x14ac:dyDescent="0.25"/>
  <cols>
    <col min="2" max="2" width="11.7109375" customWidth="1"/>
    <col min="3" max="3" width="41.5703125" customWidth="1"/>
    <col min="13" max="13" width="16.7109375" customWidth="1"/>
  </cols>
  <sheetData>
    <row r="1" spans="1:13" x14ac:dyDescent="0.25">
      <c r="A1" s="23" t="s">
        <v>468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x14ac:dyDescent="0.25">
      <c r="A2" s="23" t="s">
        <v>469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45" x14ac:dyDescent="0.25">
      <c r="A3" s="24" t="s">
        <v>2</v>
      </c>
      <c r="B3" s="24" t="s">
        <v>3</v>
      </c>
      <c r="C3" s="24" t="s">
        <v>4</v>
      </c>
      <c r="D3" s="24" t="s">
        <v>5</v>
      </c>
      <c r="E3" s="24" t="s">
        <v>6</v>
      </c>
      <c r="F3" s="24" t="s">
        <v>7</v>
      </c>
      <c r="G3" s="24" t="s">
        <v>470</v>
      </c>
      <c r="H3" s="24" t="s">
        <v>471</v>
      </c>
      <c r="I3" s="24" t="s">
        <v>10</v>
      </c>
      <c r="J3" s="24" t="s">
        <v>11</v>
      </c>
      <c r="K3" s="24" t="s">
        <v>12</v>
      </c>
      <c r="L3" s="24" t="s">
        <v>13</v>
      </c>
      <c r="M3" s="24" t="s">
        <v>14</v>
      </c>
    </row>
    <row r="4" spans="1:13" ht="15.75" x14ac:dyDescent="0.25">
      <c r="A4" s="25">
        <v>1</v>
      </c>
      <c r="B4" s="5">
        <v>10404</v>
      </c>
      <c r="C4" s="6" t="s">
        <v>472</v>
      </c>
      <c r="D4" s="5">
        <v>30</v>
      </c>
      <c r="E4" s="25">
        <v>0</v>
      </c>
      <c r="F4" s="25">
        <f>(D4*E4)</f>
        <v>0</v>
      </c>
      <c r="G4" s="25">
        <f>(D4-F4)</f>
        <v>30</v>
      </c>
      <c r="H4" s="27">
        <f>(G4*0.95)</f>
        <v>28.5</v>
      </c>
      <c r="I4" s="28">
        <f>(G4-H4)</f>
        <v>1.5</v>
      </c>
      <c r="J4" s="25">
        <f t="shared" ref="J4:J67" si="0">(L4-K4)</f>
        <v>21</v>
      </c>
      <c r="K4" s="5">
        <v>2005</v>
      </c>
      <c r="L4" s="25">
        <v>2026</v>
      </c>
      <c r="M4" s="25" t="s">
        <v>16</v>
      </c>
    </row>
    <row r="5" spans="1:13" ht="15.75" x14ac:dyDescent="0.25">
      <c r="A5" s="25">
        <v>2</v>
      </c>
      <c r="B5" s="5">
        <v>10409</v>
      </c>
      <c r="C5" s="6" t="s">
        <v>473</v>
      </c>
      <c r="D5" s="6">
        <v>30</v>
      </c>
      <c r="E5" s="29"/>
      <c r="F5" s="25"/>
      <c r="G5" s="25">
        <f>(D5-F5)</f>
        <v>30</v>
      </c>
      <c r="H5" s="27">
        <f t="shared" ref="H5:H68" si="1">(G5*0.95)</f>
        <v>28.5</v>
      </c>
      <c r="I5" s="28">
        <f t="shared" ref="I5:I68" si="2">(G5-H5)</f>
        <v>1.5</v>
      </c>
      <c r="J5" s="25">
        <f t="shared" si="0"/>
        <v>21</v>
      </c>
      <c r="K5" s="6">
        <v>2005</v>
      </c>
      <c r="L5" s="25">
        <v>2026</v>
      </c>
      <c r="M5" s="25" t="s">
        <v>16</v>
      </c>
    </row>
    <row r="6" spans="1:13" ht="15.75" x14ac:dyDescent="0.25">
      <c r="A6" s="25">
        <v>3</v>
      </c>
      <c r="B6" s="6">
        <v>10409</v>
      </c>
      <c r="C6" s="6" t="s">
        <v>473</v>
      </c>
      <c r="D6" s="6">
        <v>30</v>
      </c>
      <c r="E6" s="29"/>
      <c r="F6" s="25"/>
      <c r="G6" s="25">
        <f>(D6-F6)</f>
        <v>30</v>
      </c>
      <c r="H6" s="27">
        <f t="shared" si="1"/>
        <v>28.5</v>
      </c>
      <c r="I6" s="28">
        <f t="shared" si="2"/>
        <v>1.5</v>
      </c>
      <c r="J6" s="25">
        <f t="shared" si="0"/>
        <v>21</v>
      </c>
      <c r="K6" s="6">
        <v>2005</v>
      </c>
      <c r="L6" s="25">
        <v>2026</v>
      </c>
      <c r="M6" s="25" t="s">
        <v>16</v>
      </c>
    </row>
    <row r="7" spans="1:13" ht="15.75" x14ac:dyDescent="0.25">
      <c r="A7" s="25">
        <v>4</v>
      </c>
      <c r="B7" s="5">
        <v>10587</v>
      </c>
      <c r="C7" s="6" t="s">
        <v>474</v>
      </c>
      <c r="D7" s="6">
        <v>731</v>
      </c>
      <c r="E7" s="29"/>
      <c r="F7" s="25"/>
      <c r="G7" s="25">
        <f>(D7-F7)</f>
        <v>731</v>
      </c>
      <c r="H7" s="27">
        <f t="shared" si="1"/>
        <v>694.44999999999993</v>
      </c>
      <c r="I7" s="28">
        <f t="shared" si="2"/>
        <v>36.550000000000068</v>
      </c>
      <c r="J7" s="25">
        <f t="shared" si="0"/>
        <v>21</v>
      </c>
      <c r="K7" s="6">
        <v>2005</v>
      </c>
      <c r="L7" s="25">
        <v>2026</v>
      </c>
      <c r="M7" s="25" t="s">
        <v>16</v>
      </c>
    </row>
    <row r="8" spans="1:13" ht="15.75" x14ac:dyDescent="0.25">
      <c r="A8" s="25">
        <v>5</v>
      </c>
      <c r="B8" s="5">
        <v>10743</v>
      </c>
      <c r="C8" s="6" t="s">
        <v>475</v>
      </c>
      <c r="D8" s="6">
        <v>69</v>
      </c>
      <c r="E8" s="29"/>
      <c r="F8" s="25"/>
      <c r="G8" s="25">
        <f>(D8-F8)</f>
        <v>69</v>
      </c>
      <c r="H8" s="27">
        <f t="shared" si="1"/>
        <v>65.55</v>
      </c>
      <c r="I8" s="28">
        <f t="shared" si="2"/>
        <v>3.4500000000000028</v>
      </c>
      <c r="J8" s="25">
        <f t="shared" si="0"/>
        <v>21</v>
      </c>
      <c r="K8" s="6">
        <v>2005</v>
      </c>
      <c r="L8" s="25">
        <v>2026</v>
      </c>
      <c r="M8" s="25" t="s">
        <v>16</v>
      </c>
    </row>
    <row r="9" spans="1:13" ht="15.75" x14ac:dyDescent="0.25">
      <c r="A9" s="25">
        <v>6</v>
      </c>
      <c r="B9" s="5">
        <v>10801</v>
      </c>
      <c r="C9" s="6" t="s">
        <v>476</v>
      </c>
      <c r="D9" s="5">
        <v>58</v>
      </c>
      <c r="E9" s="29"/>
      <c r="F9" s="25"/>
      <c r="G9" s="25">
        <f>(D9-F9)</f>
        <v>58</v>
      </c>
      <c r="H9" s="27">
        <f t="shared" si="1"/>
        <v>55.099999999999994</v>
      </c>
      <c r="I9" s="28">
        <f t="shared" si="2"/>
        <v>2.9000000000000057</v>
      </c>
      <c r="J9" s="25">
        <f t="shared" si="0"/>
        <v>21</v>
      </c>
      <c r="K9" s="5">
        <v>2005</v>
      </c>
      <c r="L9" s="25">
        <v>2026</v>
      </c>
      <c r="M9" s="25" t="s">
        <v>16</v>
      </c>
    </row>
    <row r="10" spans="1:13" ht="15.75" x14ac:dyDescent="0.25">
      <c r="A10" s="25">
        <v>7</v>
      </c>
      <c r="B10" s="5">
        <v>10821</v>
      </c>
      <c r="C10" s="6" t="s">
        <v>477</v>
      </c>
      <c r="D10" s="6">
        <v>65</v>
      </c>
      <c r="E10" s="29"/>
      <c r="F10" s="25"/>
      <c r="G10" s="25">
        <f>(D10-F10)</f>
        <v>65</v>
      </c>
      <c r="H10" s="27">
        <f t="shared" si="1"/>
        <v>61.75</v>
      </c>
      <c r="I10" s="28">
        <f t="shared" si="2"/>
        <v>3.25</v>
      </c>
      <c r="J10" s="25">
        <f t="shared" si="0"/>
        <v>21</v>
      </c>
      <c r="K10" s="6">
        <v>2005</v>
      </c>
      <c r="L10" s="25">
        <v>2026</v>
      </c>
      <c r="M10" s="25" t="s">
        <v>16</v>
      </c>
    </row>
    <row r="11" spans="1:13" ht="15.75" x14ac:dyDescent="0.25">
      <c r="A11" s="25">
        <v>8</v>
      </c>
      <c r="B11" s="5">
        <v>10866</v>
      </c>
      <c r="C11" s="6" t="s">
        <v>478</v>
      </c>
      <c r="D11" s="6">
        <v>12</v>
      </c>
      <c r="E11" s="29"/>
      <c r="F11" s="25"/>
      <c r="G11" s="25">
        <f>(D11-F11)</f>
        <v>12</v>
      </c>
      <c r="H11" s="27">
        <f t="shared" si="1"/>
        <v>11.399999999999999</v>
      </c>
      <c r="I11" s="28">
        <f t="shared" si="2"/>
        <v>0.60000000000000142</v>
      </c>
      <c r="J11" s="25">
        <f t="shared" si="0"/>
        <v>20</v>
      </c>
      <c r="K11" s="6">
        <v>2006</v>
      </c>
      <c r="L11" s="25">
        <v>2026</v>
      </c>
      <c r="M11" s="25" t="s">
        <v>16</v>
      </c>
    </row>
    <row r="12" spans="1:13" ht="15.75" x14ac:dyDescent="0.25">
      <c r="A12" s="25">
        <v>9</v>
      </c>
      <c r="B12" s="5">
        <v>10869</v>
      </c>
      <c r="C12" s="6" t="s">
        <v>479</v>
      </c>
      <c r="D12" s="5">
        <v>30</v>
      </c>
      <c r="E12" s="29"/>
      <c r="F12" s="25"/>
      <c r="G12" s="25">
        <f>(D12-F12)</f>
        <v>30</v>
      </c>
      <c r="H12" s="27">
        <f t="shared" si="1"/>
        <v>28.5</v>
      </c>
      <c r="I12" s="28">
        <f t="shared" si="2"/>
        <v>1.5</v>
      </c>
      <c r="J12" s="25">
        <f t="shared" si="0"/>
        <v>20</v>
      </c>
      <c r="K12" s="5">
        <v>2006</v>
      </c>
      <c r="L12" s="25">
        <v>2026</v>
      </c>
      <c r="M12" s="25" t="s">
        <v>16</v>
      </c>
    </row>
    <row r="13" spans="1:13" ht="15.75" x14ac:dyDescent="0.25">
      <c r="A13" s="25">
        <v>10</v>
      </c>
      <c r="B13" s="5">
        <v>10871</v>
      </c>
      <c r="C13" s="6" t="s">
        <v>480</v>
      </c>
      <c r="D13" s="5">
        <v>30</v>
      </c>
      <c r="E13" s="29"/>
      <c r="F13" s="25"/>
      <c r="G13" s="25">
        <f>(D13-F13)</f>
        <v>30</v>
      </c>
      <c r="H13" s="27">
        <f t="shared" si="1"/>
        <v>28.5</v>
      </c>
      <c r="I13" s="28">
        <f t="shared" si="2"/>
        <v>1.5</v>
      </c>
      <c r="J13" s="25">
        <f t="shared" si="0"/>
        <v>20</v>
      </c>
      <c r="K13" s="5">
        <v>2006</v>
      </c>
      <c r="L13" s="25">
        <v>2026</v>
      </c>
      <c r="M13" s="25" t="s">
        <v>16</v>
      </c>
    </row>
    <row r="14" spans="1:13" ht="15.75" x14ac:dyDescent="0.25">
      <c r="A14" s="25">
        <v>11</v>
      </c>
      <c r="B14" s="5">
        <v>10887</v>
      </c>
      <c r="C14" s="6" t="s">
        <v>481</v>
      </c>
      <c r="D14" s="5">
        <v>38</v>
      </c>
      <c r="E14" s="29"/>
      <c r="F14" s="25"/>
      <c r="G14" s="25">
        <f>(D14-F14)</f>
        <v>38</v>
      </c>
      <c r="H14" s="27">
        <f t="shared" si="1"/>
        <v>36.1</v>
      </c>
      <c r="I14" s="28">
        <f t="shared" si="2"/>
        <v>1.8999999999999986</v>
      </c>
      <c r="J14" s="25">
        <f t="shared" si="0"/>
        <v>20</v>
      </c>
      <c r="K14" s="5">
        <v>2006</v>
      </c>
      <c r="L14" s="25">
        <v>2026</v>
      </c>
      <c r="M14" s="25" t="s">
        <v>16</v>
      </c>
    </row>
    <row r="15" spans="1:13" ht="15.75" x14ac:dyDescent="0.25">
      <c r="A15" s="25">
        <v>12</v>
      </c>
      <c r="B15" s="5">
        <v>10888</v>
      </c>
      <c r="C15" s="6" t="s">
        <v>482</v>
      </c>
      <c r="D15" s="5">
        <v>38</v>
      </c>
      <c r="E15" s="29"/>
      <c r="F15" s="25"/>
      <c r="G15" s="25">
        <f>(D15-F15)</f>
        <v>38</v>
      </c>
      <c r="H15" s="27">
        <f t="shared" si="1"/>
        <v>36.1</v>
      </c>
      <c r="I15" s="28">
        <f t="shared" si="2"/>
        <v>1.8999999999999986</v>
      </c>
      <c r="J15" s="25">
        <f t="shared" si="0"/>
        <v>20</v>
      </c>
      <c r="K15" s="5">
        <v>2006</v>
      </c>
      <c r="L15" s="25">
        <v>2026</v>
      </c>
      <c r="M15" s="25" t="s">
        <v>16</v>
      </c>
    </row>
    <row r="16" spans="1:13" ht="15.75" x14ac:dyDescent="0.25">
      <c r="A16" s="25">
        <v>13</v>
      </c>
      <c r="B16" s="5">
        <v>10900</v>
      </c>
      <c r="C16" s="6" t="s">
        <v>483</v>
      </c>
      <c r="D16" s="5">
        <v>35</v>
      </c>
      <c r="E16" s="29"/>
      <c r="F16" s="25"/>
      <c r="G16" s="25">
        <f>(D16-F16)</f>
        <v>35</v>
      </c>
      <c r="H16" s="27">
        <f t="shared" si="1"/>
        <v>33.25</v>
      </c>
      <c r="I16" s="28">
        <f t="shared" si="2"/>
        <v>1.75</v>
      </c>
      <c r="J16" s="25">
        <f t="shared" si="0"/>
        <v>20</v>
      </c>
      <c r="K16" s="5">
        <v>2006</v>
      </c>
      <c r="L16" s="25">
        <v>2026</v>
      </c>
      <c r="M16" s="25" t="s">
        <v>16</v>
      </c>
    </row>
    <row r="17" spans="1:13" ht="15.75" x14ac:dyDescent="0.25">
      <c r="A17" s="25">
        <v>14</v>
      </c>
      <c r="B17" s="5">
        <v>10938</v>
      </c>
      <c r="C17" s="6" t="s">
        <v>484</v>
      </c>
      <c r="D17" s="5">
        <v>25</v>
      </c>
      <c r="E17" s="29"/>
      <c r="F17" s="25"/>
      <c r="G17" s="25">
        <f>(D17-F17)</f>
        <v>25</v>
      </c>
      <c r="H17" s="27">
        <f t="shared" si="1"/>
        <v>23.75</v>
      </c>
      <c r="I17" s="28">
        <f t="shared" si="2"/>
        <v>1.25</v>
      </c>
      <c r="J17" s="25">
        <f t="shared" si="0"/>
        <v>20</v>
      </c>
      <c r="K17" s="5">
        <v>2006</v>
      </c>
      <c r="L17" s="25">
        <v>2026</v>
      </c>
      <c r="M17" s="25" t="s">
        <v>16</v>
      </c>
    </row>
    <row r="18" spans="1:13" ht="15.75" x14ac:dyDescent="0.25">
      <c r="A18" s="25">
        <v>15</v>
      </c>
      <c r="B18" s="5">
        <v>10962</v>
      </c>
      <c r="C18" s="6" t="s">
        <v>485</v>
      </c>
      <c r="D18" s="6">
        <v>20</v>
      </c>
      <c r="E18" s="29"/>
      <c r="F18" s="25"/>
      <c r="G18" s="25">
        <f>(D18-F18)</f>
        <v>20</v>
      </c>
      <c r="H18" s="27">
        <f t="shared" si="1"/>
        <v>19</v>
      </c>
      <c r="I18" s="28">
        <f t="shared" si="2"/>
        <v>1</v>
      </c>
      <c r="J18" s="25">
        <f t="shared" si="0"/>
        <v>20</v>
      </c>
      <c r="K18" s="6">
        <v>2006</v>
      </c>
      <c r="L18" s="25">
        <v>2026</v>
      </c>
      <c r="M18" s="25" t="s">
        <v>16</v>
      </c>
    </row>
    <row r="19" spans="1:13" ht="15.75" x14ac:dyDescent="0.25">
      <c r="A19" s="25">
        <v>16</v>
      </c>
      <c r="B19" s="5">
        <v>10995</v>
      </c>
      <c r="C19" s="6" t="s">
        <v>486</v>
      </c>
      <c r="D19" s="5">
        <v>32</v>
      </c>
      <c r="E19" s="29"/>
      <c r="F19" s="25"/>
      <c r="G19" s="25">
        <f>(D19-F19)</f>
        <v>32</v>
      </c>
      <c r="H19" s="27">
        <f t="shared" si="1"/>
        <v>30.4</v>
      </c>
      <c r="I19" s="28">
        <f t="shared" si="2"/>
        <v>1.6000000000000014</v>
      </c>
      <c r="J19" s="25">
        <f t="shared" si="0"/>
        <v>20</v>
      </c>
      <c r="K19" s="5">
        <v>2006</v>
      </c>
      <c r="L19" s="25">
        <v>2026</v>
      </c>
      <c r="M19" s="25" t="s">
        <v>16</v>
      </c>
    </row>
    <row r="20" spans="1:13" ht="15.75" x14ac:dyDescent="0.25">
      <c r="A20" s="25">
        <v>17</v>
      </c>
      <c r="B20" s="5">
        <v>11011</v>
      </c>
      <c r="C20" s="6" t="s">
        <v>487</v>
      </c>
      <c r="D20" s="5">
        <v>32</v>
      </c>
      <c r="E20" s="29"/>
      <c r="F20" s="25"/>
      <c r="G20" s="25">
        <f>(D20-F20)</f>
        <v>32</v>
      </c>
      <c r="H20" s="27">
        <f t="shared" si="1"/>
        <v>30.4</v>
      </c>
      <c r="I20" s="28">
        <f t="shared" si="2"/>
        <v>1.6000000000000014</v>
      </c>
      <c r="J20" s="25">
        <f t="shared" si="0"/>
        <v>20</v>
      </c>
      <c r="K20" s="5">
        <v>2006</v>
      </c>
      <c r="L20" s="25">
        <v>2026</v>
      </c>
      <c r="M20" s="25" t="s">
        <v>16</v>
      </c>
    </row>
    <row r="21" spans="1:13" ht="15.75" x14ac:dyDescent="0.25">
      <c r="A21" s="25">
        <v>18</v>
      </c>
      <c r="B21" s="5">
        <v>11015</v>
      </c>
      <c r="C21" s="6" t="s">
        <v>473</v>
      </c>
      <c r="D21" s="5">
        <v>32</v>
      </c>
      <c r="E21" s="29"/>
      <c r="F21" s="25"/>
      <c r="G21" s="25">
        <f>(D21-F21)</f>
        <v>32</v>
      </c>
      <c r="H21" s="27">
        <f t="shared" si="1"/>
        <v>30.4</v>
      </c>
      <c r="I21" s="28">
        <f t="shared" si="2"/>
        <v>1.6000000000000014</v>
      </c>
      <c r="J21" s="25">
        <f t="shared" si="0"/>
        <v>20</v>
      </c>
      <c r="K21" s="5">
        <v>2006</v>
      </c>
      <c r="L21" s="25">
        <v>2026</v>
      </c>
      <c r="M21" s="25" t="s">
        <v>16</v>
      </c>
    </row>
    <row r="22" spans="1:13" ht="15.75" x14ac:dyDescent="0.25">
      <c r="A22" s="25">
        <v>19</v>
      </c>
      <c r="B22" s="5">
        <v>11016</v>
      </c>
      <c r="C22" s="6" t="s">
        <v>472</v>
      </c>
      <c r="D22" s="5">
        <v>32</v>
      </c>
      <c r="E22" s="29"/>
      <c r="F22" s="25"/>
      <c r="G22" s="25">
        <f>(D22-F22)</f>
        <v>32</v>
      </c>
      <c r="H22" s="27">
        <f t="shared" si="1"/>
        <v>30.4</v>
      </c>
      <c r="I22" s="28">
        <f t="shared" si="2"/>
        <v>1.6000000000000014</v>
      </c>
      <c r="J22" s="25">
        <f t="shared" si="0"/>
        <v>20</v>
      </c>
      <c r="K22" s="5">
        <v>2006</v>
      </c>
      <c r="L22" s="25">
        <v>2026</v>
      </c>
      <c r="M22" s="25" t="s">
        <v>16</v>
      </c>
    </row>
    <row r="23" spans="1:13" ht="15.75" x14ac:dyDescent="0.25">
      <c r="A23" s="25">
        <v>20</v>
      </c>
      <c r="B23" s="5">
        <v>11039</v>
      </c>
      <c r="C23" s="6" t="s">
        <v>488</v>
      </c>
      <c r="D23" s="5">
        <v>20</v>
      </c>
      <c r="E23" s="29"/>
      <c r="F23" s="25"/>
      <c r="G23" s="25">
        <f>(D23-F23)</f>
        <v>20</v>
      </c>
      <c r="H23" s="27">
        <f t="shared" si="1"/>
        <v>19</v>
      </c>
      <c r="I23" s="28">
        <f t="shared" si="2"/>
        <v>1</v>
      </c>
      <c r="J23" s="25">
        <f t="shared" si="0"/>
        <v>20</v>
      </c>
      <c r="K23" s="5">
        <v>2006</v>
      </c>
      <c r="L23" s="25">
        <v>2026</v>
      </c>
      <c r="M23" s="25" t="s">
        <v>16</v>
      </c>
    </row>
    <row r="24" spans="1:13" ht="15.75" x14ac:dyDescent="0.25">
      <c r="A24" s="25">
        <v>21</v>
      </c>
      <c r="B24" s="5">
        <v>11051</v>
      </c>
      <c r="C24" s="6" t="s">
        <v>489</v>
      </c>
      <c r="D24" s="5">
        <v>20</v>
      </c>
      <c r="E24" s="29"/>
      <c r="F24" s="25"/>
      <c r="G24" s="25">
        <f>(D24-F24)</f>
        <v>20</v>
      </c>
      <c r="H24" s="27">
        <f t="shared" si="1"/>
        <v>19</v>
      </c>
      <c r="I24" s="28">
        <f t="shared" si="2"/>
        <v>1</v>
      </c>
      <c r="J24" s="25">
        <f t="shared" si="0"/>
        <v>20</v>
      </c>
      <c r="K24" s="5">
        <v>2006</v>
      </c>
      <c r="L24" s="25">
        <v>2026</v>
      </c>
      <c r="M24" s="25" t="s">
        <v>16</v>
      </c>
    </row>
    <row r="25" spans="1:13" ht="15.75" x14ac:dyDescent="0.25">
      <c r="A25" s="25">
        <v>22</v>
      </c>
      <c r="B25" s="5">
        <v>11055</v>
      </c>
      <c r="C25" s="6" t="s">
        <v>490</v>
      </c>
      <c r="D25" s="6">
        <v>40</v>
      </c>
      <c r="E25" s="29"/>
      <c r="F25" s="25"/>
      <c r="G25" s="25">
        <f>(D25-F25)</f>
        <v>40</v>
      </c>
      <c r="H25" s="27">
        <f t="shared" si="1"/>
        <v>38</v>
      </c>
      <c r="I25" s="28">
        <f t="shared" si="2"/>
        <v>2</v>
      </c>
      <c r="J25" s="25">
        <f t="shared" si="0"/>
        <v>16</v>
      </c>
      <c r="K25" s="6">
        <v>2010</v>
      </c>
      <c r="L25" s="25">
        <v>2026</v>
      </c>
      <c r="M25" s="25" t="s">
        <v>16</v>
      </c>
    </row>
    <row r="26" spans="1:13" ht="15.75" x14ac:dyDescent="0.25">
      <c r="A26" s="25">
        <v>23</v>
      </c>
      <c r="B26" s="5">
        <v>11057</v>
      </c>
      <c r="C26" s="6" t="s">
        <v>491</v>
      </c>
      <c r="D26" s="6">
        <v>12</v>
      </c>
      <c r="E26" s="29"/>
      <c r="F26" s="25"/>
      <c r="G26" s="25">
        <f>(D26-F26)</f>
        <v>12</v>
      </c>
      <c r="H26" s="27">
        <f t="shared" si="1"/>
        <v>11.399999999999999</v>
      </c>
      <c r="I26" s="28">
        <f t="shared" si="2"/>
        <v>0.60000000000000142</v>
      </c>
      <c r="J26" s="25">
        <f t="shared" si="0"/>
        <v>20</v>
      </c>
      <c r="K26" s="6">
        <v>2006</v>
      </c>
      <c r="L26" s="25">
        <v>2026</v>
      </c>
      <c r="M26" s="25" t="s">
        <v>16</v>
      </c>
    </row>
    <row r="27" spans="1:13" ht="15.75" x14ac:dyDescent="0.25">
      <c r="A27" s="25">
        <v>24</v>
      </c>
      <c r="B27" s="5">
        <v>11061</v>
      </c>
      <c r="C27" s="6" t="s">
        <v>492</v>
      </c>
      <c r="D27" s="6">
        <v>30</v>
      </c>
      <c r="E27" s="29"/>
      <c r="F27" s="25"/>
      <c r="G27" s="25">
        <f>(D27-F27)</f>
        <v>30</v>
      </c>
      <c r="H27" s="27">
        <f t="shared" si="1"/>
        <v>28.5</v>
      </c>
      <c r="I27" s="28">
        <f t="shared" si="2"/>
        <v>1.5</v>
      </c>
      <c r="J27" s="25">
        <f t="shared" si="0"/>
        <v>20</v>
      </c>
      <c r="K27" s="6">
        <v>2006</v>
      </c>
      <c r="L27" s="25">
        <v>2026</v>
      </c>
      <c r="M27" s="25" t="s">
        <v>16</v>
      </c>
    </row>
    <row r="28" spans="1:13" ht="15.75" x14ac:dyDescent="0.25">
      <c r="A28" s="25">
        <v>25</v>
      </c>
      <c r="B28" s="5">
        <v>11064</v>
      </c>
      <c r="C28" s="6" t="s">
        <v>493</v>
      </c>
      <c r="D28" s="5">
        <v>30</v>
      </c>
      <c r="E28" s="29"/>
      <c r="F28" s="25"/>
      <c r="G28" s="25">
        <f>(D28-F28)</f>
        <v>30</v>
      </c>
      <c r="H28" s="27">
        <f t="shared" si="1"/>
        <v>28.5</v>
      </c>
      <c r="I28" s="28">
        <f t="shared" si="2"/>
        <v>1.5</v>
      </c>
      <c r="J28" s="25">
        <f t="shared" si="0"/>
        <v>20</v>
      </c>
      <c r="K28" s="5">
        <v>2006</v>
      </c>
      <c r="L28" s="25">
        <v>2026</v>
      </c>
      <c r="M28" s="25" t="s">
        <v>16</v>
      </c>
    </row>
    <row r="29" spans="1:13" ht="15.75" x14ac:dyDescent="0.25">
      <c r="A29" s="25">
        <v>26</v>
      </c>
      <c r="B29" s="6">
        <v>11081</v>
      </c>
      <c r="C29" s="6" t="s">
        <v>494</v>
      </c>
      <c r="D29" s="6">
        <v>40</v>
      </c>
      <c r="E29" s="29"/>
      <c r="F29" s="25"/>
      <c r="G29" s="25">
        <f>(D29-F29)</f>
        <v>40</v>
      </c>
      <c r="H29" s="27">
        <f t="shared" si="1"/>
        <v>38</v>
      </c>
      <c r="I29" s="28">
        <f t="shared" si="2"/>
        <v>2</v>
      </c>
      <c r="J29" s="25">
        <f t="shared" si="0"/>
        <v>15</v>
      </c>
      <c r="K29" s="6">
        <v>2011</v>
      </c>
      <c r="L29" s="25">
        <v>2026</v>
      </c>
      <c r="M29" s="25" t="s">
        <v>16</v>
      </c>
    </row>
    <row r="30" spans="1:13" ht="15.75" x14ac:dyDescent="0.25">
      <c r="A30" s="25">
        <v>27</v>
      </c>
      <c r="B30" s="5">
        <v>11082</v>
      </c>
      <c r="C30" s="6" t="s">
        <v>495</v>
      </c>
      <c r="D30" s="5">
        <v>30</v>
      </c>
      <c r="E30" s="29"/>
      <c r="F30" s="25"/>
      <c r="G30" s="25">
        <f>(D30-F30)</f>
        <v>30</v>
      </c>
      <c r="H30" s="27">
        <f t="shared" si="1"/>
        <v>28.5</v>
      </c>
      <c r="I30" s="28">
        <f t="shared" si="2"/>
        <v>1.5</v>
      </c>
      <c r="J30" s="25">
        <f t="shared" si="0"/>
        <v>20</v>
      </c>
      <c r="K30" s="5">
        <v>2006</v>
      </c>
      <c r="L30" s="25">
        <v>2026</v>
      </c>
      <c r="M30" s="25" t="s">
        <v>16</v>
      </c>
    </row>
    <row r="31" spans="1:13" ht="15.75" x14ac:dyDescent="0.25">
      <c r="A31" s="25">
        <v>28</v>
      </c>
      <c r="B31" s="5">
        <v>11139</v>
      </c>
      <c r="C31" s="6" t="s">
        <v>496</v>
      </c>
      <c r="D31" s="6">
        <v>35</v>
      </c>
      <c r="E31" s="29"/>
      <c r="F31" s="25"/>
      <c r="G31" s="25">
        <f>(D31-F31)</f>
        <v>35</v>
      </c>
      <c r="H31" s="27">
        <f t="shared" si="1"/>
        <v>33.25</v>
      </c>
      <c r="I31" s="28">
        <f t="shared" si="2"/>
        <v>1.75</v>
      </c>
      <c r="J31" s="25">
        <f t="shared" si="0"/>
        <v>20</v>
      </c>
      <c r="K31" s="6">
        <v>2006</v>
      </c>
      <c r="L31" s="25">
        <v>2026</v>
      </c>
      <c r="M31" s="25" t="s">
        <v>16</v>
      </c>
    </row>
    <row r="32" spans="1:13" ht="15.75" x14ac:dyDescent="0.25">
      <c r="A32" s="25">
        <v>29</v>
      </c>
      <c r="B32" s="5">
        <v>11140</v>
      </c>
      <c r="C32" s="6" t="s">
        <v>497</v>
      </c>
      <c r="D32" s="6">
        <v>35</v>
      </c>
      <c r="E32" s="29"/>
      <c r="F32" s="25"/>
      <c r="G32" s="25">
        <f>(D32-F32)</f>
        <v>35</v>
      </c>
      <c r="H32" s="27">
        <f t="shared" si="1"/>
        <v>33.25</v>
      </c>
      <c r="I32" s="28">
        <f t="shared" si="2"/>
        <v>1.75</v>
      </c>
      <c r="J32" s="25">
        <f t="shared" si="0"/>
        <v>20</v>
      </c>
      <c r="K32" s="6">
        <v>2006</v>
      </c>
      <c r="L32" s="25">
        <v>2026</v>
      </c>
      <c r="M32" s="25" t="s">
        <v>16</v>
      </c>
    </row>
    <row r="33" spans="1:13" ht="15.75" x14ac:dyDescent="0.25">
      <c r="A33" s="25">
        <v>30</v>
      </c>
      <c r="B33" s="5">
        <v>11167</v>
      </c>
      <c r="C33" s="6" t="s">
        <v>498</v>
      </c>
      <c r="D33" s="5">
        <v>30</v>
      </c>
      <c r="E33" s="29"/>
      <c r="F33" s="25"/>
      <c r="G33" s="25">
        <f>(D33-F33)</f>
        <v>30</v>
      </c>
      <c r="H33" s="27">
        <f t="shared" si="1"/>
        <v>28.5</v>
      </c>
      <c r="I33" s="28">
        <f t="shared" si="2"/>
        <v>1.5</v>
      </c>
      <c r="J33" s="25">
        <f t="shared" si="0"/>
        <v>20</v>
      </c>
      <c r="K33" s="5">
        <v>2006</v>
      </c>
      <c r="L33" s="25">
        <v>2026</v>
      </c>
      <c r="M33" s="25" t="s">
        <v>16</v>
      </c>
    </row>
    <row r="34" spans="1:13" ht="15.75" x14ac:dyDescent="0.25">
      <c r="A34" s="25">
        <v>31</v>
      </c>
      <c r="B34" s="5">
        <v>11199</v>
      </c>
      <c r="C34" s="6" t="s">
        <v>499</v>
      </c>
      <c r="D34" s="5">
        <v>25</v>
      </c>
      <c r="E34" s="29"/>
      <c r="F34" s="25"/>
      <c r="G34" s="25">
        <f>(D34-F34)</f>
        <v>25</v>
      </c>
      <c r="H34" s="27">
        <f t="shared" si="1"/>
        <v>23.75</v>
      </c>
      <c r="I34" s="28">
        <f t="shared" si="2"/>
        <v>1.25</v>
      </c>
      <c r="J34" s="25">
        <f t="shared" si="0"/>
        <v>20</v>
      </c>
      <c r="K34" s="5">
        <v>2006</v>
      </c>
      <c r="L34" s="25">
        <v>2026</v>
      </c>
      <c r="M34" s="25" t="s">
        <v>16</v>
      </c>
    </row>
    <row r="35" spans="1:13" ht="15.75" x14ac:dyDescent="0.25">
      <c r="A35" s="25">
        <v>32</v>
      </c>
      <c r="B35" s="5">
        <v>11237</v>
      </c>
      <c r="C35" s="6" t="s">
        <v>500</v>
      </c>
      <c r="D35" s="6">
        <v>12</v>
      </c>
      <c r="E35" s="29"/>
      <c r="F35" s="25"/>
      <c r="G35" s="25">
        <f>(D35-F35)</f>
        <v>12</v>
      </c>
      <c r="H35" s="27">
        <f t="shared" si="1"/>
        <v>11.399999999999999</v>
      </c>
      <c r="I35" s="28">
        <f t="shared" si="2"/>
        <v>0.60000000000000142</v>
      </c>
      <c r="J35" s="25">
        <f t="shared" si="0"/>
        <v>20</v>
      </c>
      <c r="K35" s="6">
        <v>2006</v>
      </c>
      <c r="L35" s="25">
        <v>2026</v>
      </c>
      <c r="M35" s="25" t="s">
        <v>16</v>
      </c>
    </row>
    <row r="36" spans="1:13" ht="15.75" x14ac:dyDescent="0.25">
      <c r="A36" s="25">
        <v>33</v>
      </c>
      <c r="B36" s="5">
        <v>11244</v>
      </c>
      <c r="C36" s="6" t="s">
        <v>501</v>
      </c>
      <c r="D36" s="6">
        <v>12</v>
      </c>
      <c r="E36" s="29"/>
      <c r="F36" s="25"/>
      <c r="G36" s="25">
        <f>(D36-F36)</f>
        <v>12</v>
      </c>
      <c r="H36" s="27">
        <f t="shared" si="1"/>
        <v>11.399999999999999</v>
      </c>
      <c r="I36" s="28">
        <f t="shared" si="2"/>
        <v>0.60000000000000142</v>
      </c>
      <c r="J36" s="25">
        <f t="shared" si="0"/>
        <v>20</v>
      </c>
      <c r="K36" s="6">
        <v>2006</v>
      </c>
      <c r="L36" s="25">
        <v>2026</v>
      </c>
      <c r="M36" s="25" t="s">
        <v>16</v>
      </c>
    </row>
    <row r="37" spans="1:13" ht="15.75" x14ac:dyDescent="0.25">
      <c r="A37" s="25">
        <v>34</v>
      </c>
      <c r="B37" s="5">
        <v>11244</v>
      </c>
      <c r="C37" s="6" t="s">
        <v>502</v>
      </c>
      <c r="D37" s="5">
        <v>12</v>
      </c>
      <c r="E37" s="29"/>
      <c r="F37" s="25"/>
      <c r="G37" s="25">
        <f>(D37-F37)</f>
        <v>12</v>
      </c>
      <c r="H37" s="27">
        <f t="shared" si="1"/>
        <v>11.399999999999999</v>
      </c>
      <c r="I37" s="28">
        <f t="shared" si="2"/>
        <v>0.60000000000000142</v>
      </c>
      <c r="J37" s="25">
        <f t="shared" si="0"/>
        <v>20</v>
      </c>
      <c r="K37" s="5">
        <v>2006</v>
      </c>
      <c r="L37" s="25">
        <v>2026</v>
      </c>
      <c r="M37" s="25" t="s">
        <v>16</v>
      </c>
    </row>
    <row r="38" spans="1:13" ht="15.75" x14ac:dyDescent="0.25">
      <c r="A38" s="25">
        <v>35</v>
      </c>
      <c r="B38" s="5">
        <v>11245</v>
      </c>
      <c r="C38" s="6" t="s">
        <v>503</v>
      </c>
      <c r="D38" s="5">
        <v>12</v>
      </c>
      <c r="E38" s="29"/>
      <c r="F38" s="25"/>
      <c r="G38" s="25">
        <f>(D38-F38)</f>
        <v>12</v>
      </c>
      <c r="H38" s="27">
        <f t="shared" si="1"/>
        <v>11.399999999999999</v>
      </c>
      <c r="I38" s="28">
        <f t="shared" si="2"/>
        <v>0.60000000000000142</v>
      </c>
      <c r="J38" s="25">
        <f t="shared" si="0"/>
        <v>20</v>
      </c>
      <c r="K38" s="5">
        <v>2006</v>
      </c>
      <c r="L38" s="25">
        <v>2026</v>
      </c>
      <c r="M38" s="25" t="s">
        <v>16</v>
      </c>
    </row>
    <row r="39" spans="1:13" ht="15.75" x14ac:dyDescent="0.25">
      <c r="A39" s="25">
        <v>36</v>
      </c>
      <c r="B39" s="5">
        <v>11245</v>
      </c>
      <c r="C39" s="6" t="s">
        <v>504</v>
      </c>
      <c r="D39" s="5">
        <v>12</v>
      </c>
      <c r="E39" s="29"/>
      <c r="F39" s="25"/>
      <c r="G39" s="25">
        <f>(D39-F39)</f>
        <v>12</v>
      </c>
      <c r="H39" s="27">
        <f t="shared" si="1"/>
        <v>11.399999999999999</v>
      </c>
      <c r="I39" s="28">
        <f t="shared" si="2"/>
        <v>0.60000000000000142</v>
      </c>
      <c r="J39" s="25">
        <f t="shared" si="0"/>
        <v>20</v>
      </c>
      <c r="K39" s="5">
        <v>2006</v>
      </c>
      <c r="L39" s="25">
        <v>2026</v>
      </c>
      <c r="M39" s="25" t="s">
        <v>16</v>
      </c>
    </row>
    <row r="40" spans="1:13" ht="15.75" x14ac:dyDescent="0.25">
      <c r="A40" s="25">
        <v>37</v>
      </c>
      <c r="B40" s="5">
        <v>11246</v>
      </c>
      <c r="C40" s="6" t="s">
        <v>505</v>
      </c>
      <c r="D40" s="6">
        <v>12</v>
      </c>
      <c r="E40" s="29"/>
      <c r="F40" s="25"/>
      <c r="G40" s="25">
        <f>(D40-F40)</f>
        <v>12</v>
      </c>
      <c r="H40" s="27">
        <f t="shared" si="1"/>
        <v>11.399999999999999</v>
      </c>
      <c r="I40" s="28">
        <f t="shared" si="2"/>
        <v>0.60000000000000142</v>
      </c>
      <c r="J40" s="25">
        <f t="shared" si="0"/>
        <v>20</v>
      </c>
      <c r="K40" s="6">
        <v>2006</v>
      </c>
      <c r="L40" s="25">
        <v>2026</v>
      </c>
      <c r="M40" s="25" t="s">
        <v>16</v>
      </c>
    </row>
    <row r="41" spans="1:13" ht="15.75" x14ac:dyDescent="0.25">
      <c r="A41" s="25">
        <v>38</v>
      </c>
      <c r="B41" s="5">
        <v>11246</v>
      </c>
      <c r="C41" s="6" t="s">
        <v>506</v>
      </c>
      <c r="D41" s="5">
        <v>12</v>
      </c>
      <c r="E41" s="29"/>
      <c r="F41" s="25"/>
      <c r="G41" s="25">
        <f>(D41-F41)</f>
        <v>12</v>
      </c>
      <c r="H41" s="27">
        <f t="shared" si="1"/>
        <v>11.399999999999999</v>
      </c>
      <c r="I41" s="28">
        <f t="shared" si="2"/>
        <v>0.60000000000000142</v>
      </c>
      <c r="J41" s="25">
        <f t="shared" si="0"/>
        <v>20</v>
      </c>
      <c r="K41" s="5">
        <v>2006</v>
      </c>
      <c r="L41" s="25">
        <v>2026</v>
      </c>
      <c r="M41" s="25" t="s">
        <v>16</v>
      </c>
    </row>
    <row r="42" spans="1:13" ht="15.75" x14ac:dyDescent="0.25">
      <c r="A42" s="25">
        <v>39</v>
      </c>
      <c r="B42" s="5">
        <v>11267</v>
      </c>
      <c r="C42" s="6" t="s">
        <v>507</v>
      </c>
      <c r="D42" s="6">
        <v>23</v>
      </c>
      <c r="E42" s="29"/>
      <c r="F42" s="25"/>
      <c r="G42" s="25">
        <f>(D42-F42)</f>
        <v>23</v>
      </c>
      <c r="H42" s="27">
        <f t="shared" si="1"/>
        <v>21.849999999999998</v>
      </c>
      <c r="I42" s="28">
        <f t="shared" si="2"/>
        <v>1.1500000000000021</v>
      </c>
      <c r="J42" s="25">
        <f t="shared" si="0"/>
        <v>20</v>
      </c>
      <c r="K42" s="6">
        <v>2006</v>
      </c>
      <c r="L42" s="25">
        <v>2026</v>
      </c>
      <c r="M42" s="25" t="s">
        <v>16</v>
      </c>
    </row>
    <row r="43" spans="1:13" ht="15.75" x14ac:dyDescent="0.25">
      <c r="A43" s="25">
        <v>40</v>
      </c>
      <c r="B43" s="9">
        <v>11442</v>
      </c>
      <c r="C43" s="9" t="s">
        <v>508</v>
      </c>
      <c r="D43" s="9">
        <v>30</v>
      </c>
      <c r="E43" s="29"/>
      <c r="F43" s="25"/>
      <c r="G43" s="25">
        <f>(D43-F43)</f>
        <v>30</v>
      </c>
      <c r="H43" s="27">
        <f t="shared" si="1"/>
        <v>28.5</v>
      </c>
      <c r="I43" s="28">
        <f t="shared" si="2"/>
        <v>1.5</v>
      </c>
      <c r="J43" s="25">
        <f t="shared" si="0"/>
        <v>18</v>
      </c>
      <c r="K43" s="9">
        <v>2008</v>
      </c>
      <c r="L43" s="25">
        <v>2026</v>
      </c>
      <c r="M43" s="25" t="s">
        <v>16</v>
      </c>
    </row>
    <row r="44" spans="1:13" ht="15.75" x14ac:dyDescent="0.25">
      <c r="A44" s="25">
        <v>41</v>
      </c>
      <c r="B44" s="5">
        <v>11443</v>
      </c>
      <c r="C44" s="6" t="s">
        <v>509</v>
      </c>
      <c r="D44" s="5">
        <v>30</v>
      </c>
      <c r="E44" s="29"/>
      <c r="F44" s="25"/>
      <c r="G44" s="25">
        <f>(D44-F44)</f>
        <v>30</v>
      </c>
      <c r="H44" s="27">
        <f t="shared" si="1"/>
        <v>28.5</v>
      </c>
      <c r="I44" s="28">
        <f t="shared" si="2"/>
        <v>1.5</v>
      </c>
      <c r="J44" s="25">
        <f t="shared" si="0"/>
        <v>20</v>
      </c>
      <c r="K44" s="5">
        <v>2006</v>
      </c>
      <c r="L44" s="25">
        <v>2026</v>
      </c>
      <c r="M44" s="25" t="s">
        <v>16</v>
      </c>
    </row>
    <row r="45" spans="1:13" ht="15.75" x14ac:dyDescent="0.25">
      <c r="A45" s="25">
        <v>42</v>
      </c>
      <c r="B45" s="9">
        <v>11444</v>
      </c>
      <c r="C45" s="9" t="s">
        <v>508</v>
      </c>
      <c r="D45" s="9">
        <v>30</v>
      </c>
      <c r="E45" s="29"/>
      <c r="F45" s="25"/>
      <c r="G45" s="25">
        <f>(D45-F45)</f>
        <v>30</v>
      </c>
      <c r="H45" s="27">
        <f t="shared" si="1"/>
        <v>28.5</v>
      </c>
      <c r="I45" s="28">
        <f t="shared" si="2"/>
        <v>1.5</v>
      </c>
      <c r="J45" s="25">
        <f t="shared" si="0"/>
        <v>20</v>
      </c>
      <c r="K45" s="9">
        <v>2006</v>
      </c>
      <c r="L45" s="25">
        <v>2026</v>
      </c>
      <c r="M45" s="25" t="s">
        <v>16</v>
      </c>
    </row>
    <row r="46" spans="1:13" ht="15.75" x14ac:dyDescent="0.25">
      <c r="A46" s="25">
        <v>43</v>
      </c>
      <c r="B46" s="9">
        <v>11445</v>
      </c>
      <c r="C46" s="9" t="s">
        <v>508</v>
      </c>
      <c r="D46" s="9">
        <v>30</v>
      </c>
      <c r="E46" s="29"/>
      <c r="F46" s="25"/>
      <c r="G46" s="25">
        <f>(D46-F46)</f>
        <v>30</v>
      </c>
      <c r="H46" s="27">
        <f t="shared" si="1"/>
        <v>28.5</v>
      </c>
      <c r="I46" s="28">
        <f t="shared" si="2"/>
        <v>1.5</v>
      </c>
      <c r="J46" s="25">
        <f t="shared" si="0"/>
        <v>20</v>
      </c>
      <c r="K46" s="9">
        <v>2006</v>
      </c>
      <c r="L46" s="25">
        <v>2026</v>
      </c>
      <c r="M46" s="25" t="s">
        <v>16</v>
      </c>
    </row>
    <row r="47" spans="1:13" ht="15.75" x14ac:dyDescent="0.25">
      <c r="A47" s="25">
        <v>44</v>
      </c>
      <c r="B47" s="5">
        <v>11446</v>
      </c>
      <c r="C47" s="6" t="s">
        <v>509</v>
      </c>
      <c r="D47" s="5">
        <v>30</v>
      </c>
      <c r="E47" s="29"/>
      <c r="F47" s="25"/>
      <c r="G47" s="25">
        <f>(D47-F47)</f>
        <v>30</v>
      </c>
      <c r="H47" s="27">
        <f t="shared" si="1"/>
        <v>28.5</v>
      </c>
      <c r="I47" s="28">
        <f t="shared" si="2"/>
        <v>1.5</v>
      </c>
      <c r="J47" s="25">
        <f t="shared" si="0"/>
        <v>20</v>
      </c>
      <c r="K47" s="5">
        <v>2006</v>
      </c>
      <c r="L47" s="25">
        <v>2026</v>
      </c>
      <c r="M47" s="25" t="s">
        <v>16</v>
      </c>
    </row>
    <row r="48" spans="1:13" ht="15.75" x14ac:dyDescent="0.25">
      <c r="A48" s="25">
        <v>45</v>
      </c>
      <c r="B48" s="9">
        <v>11448</v>
      </c>
      <c r="C48" s="9" t="s">
        <v>510</v>
      </c>
      <c r="D48" s="9">
        <v>30</v>
      </c>
      <c r="E48" s="29"/>
      <c r="F48" s="25"/>
      <c r="G48" s="25">
        <f>(D48-F48)</f>
        <v>30</v>
      </c>
      <c r="H48" s="27">
        <f t="shared" si="1"/>
        <v>28.5</v>
      </c>
      <c r="I48" s="28">
        <f t="shared" si="2"/>
        <v>1.5</v>
      </c>
      <c r="J48" s="25">
        <f t="shared" si="0"/>
        <v>20</v>
      </c>
      <c r="K48" s="9">
        <v>2006</v>
      </c>
      <c r="L48" s="25">
        <v>2026</v>
      </c>
      <c r="M48" s="25" t="s">
        <v>16</v>
      </c>
    </row>
    <row r="49" spans="1:13" ht="15.75" x14ac:dyDescent="0.25">
      <c r="A49" s="25">
        <v>46</v>
      </c>
      <c r="B49" s="9">
        <v>11449</v>
      </c>
      <c r="C49" s="9" t="s">
        <v>510</v>
      </c>
      <c r="D49" s="9">
        <v>30</v>
      </c>
      <c r="E49" s="29"/>
      <c r="F49" s="25"/>
      <c r="G49" s="25">
        <f>(D49-F49)</f>
        <v>30</v>
      </c>
      <c r="H49" s="27">
        <f t="shared" si="1"/>
        <v>28.5</v>
      </c>
      <c r="I49" s="28">
        <f t="shared" si="2"/>
        <v>1.5</v>
      </c>
      <c r="J49" s="25">
        <f t="shared" si="0"/>
        <v>20</v>
      </c>
      <c r="K49" s="9">
        <v>2006</v>
      </c>
      <c r="L49" s="25">
        <v>2026</v>
      </c>
      <c r="M49" s="25" t="s">
        <v>16</v>
      </c>
    </row>
    <row r="50" spans="1:13" ht="15.75" x14ac:dyDescent="0.25">
      <c r="A50" s="25">
        <v>47</v>
      </c>
      <c r="B50" s="5">
        <v>11450</v>
      </c>
      <c r="C50" s="6" t="s">
        <v>511</v>
      </c>
      <c r="D50" s="5">
        <v>30</v>
      </c>
      <c r="E50" s="29"/>
      <c r="F50" s="25"/>
      <c r="G50" s="25">
        <f>(D50-F50)</f>
        <v>30</v>
      </c>
      <c r="H50" s="27">
        <f t="shared" si="1"/>
        <v>28.5</v>
      </c>
      <c r="I50" s="28">
        <f t="shared" si="2"/>
        <v>1.5</v>
      </c>
      <c r="J50" s="25">
        <f t="shared" si="0"/>
        <v>20</v>
      </c>
      <c r="K50" s="5">
        <v>2006</v>
      </c>
      <c r="L50" s="25">
        <v>2026</v>
      </c>
      <c r="M50" s="25" t="s">
        <v>16</v>
      </c>
    </row>
    <row r="51" spans="1:13" ht="15.75" x14ac:dyDescent="0.25">
      <c r="A51" s="25">
        <v>48</v>
      </c>
      <c r="B51" s="9">
        <v>11451</v>
      </c>
      <c r="C51" s="9" t="s">
        <v>510</v>
      </c>
      <c r="D51" s="9">
        <v>30</v>
      </c>
      <c r="E51" s="29"/>
      <c r="F51" s="25"/>
      <c r="G51" s="25">
        <f>(D51-F51)</f>
        <v>30</v>
      </c>
      <c r="H51" s="27">
        <f t="shared" si="1"/>
        <v>28.5</v>
      </c>
      <c r="I51" s="28">
        <f t="shared" si="2"/>
        <v>1.5</v>
      </c>
      <c r="J51" s="25">
        <f t="shared" si="0"/>
        <v>20</v>
      </c>
      <c r="K51" s="9">
        <v>2006</v>
      </c>
      <c r="L51" s="25">
        <v>2026</v>
      </c>
      <c r="M51" s="25" t="s">
        <v>16</v>
      </c>
    </row>
    <row r="52" spans="1:13" ht="15.75" x14ac:dyDescent="0.25">
      <c r="A52" s="25">
        <v>49</v>
      </c>
      <c r="B52" s="9">
        <v>11453</v>
      </c>
      <c r="C52" s="9" t="s">
        <v>512</v>
      </c>
      <c r="D52" s="9">
        <v>30</v>
      </c>
      <c r="E52" s="29"/>
      <c r="F52" s="25"/>
      <c r="G52" s="25">
        <f>(D52-F52)</f>
        <v>30</v>
      </c>
      <c r="H52" s="27">
        <f t="shared" si="1"/>
        <v>28.5</v>
      </c>
      <c r="I52" s="28">
        <f t="shared" si="2"/>
        <v>1.5</v>
      </c>
      <c r="J52" s="25">
        <f t="shared" si="0"/>
        <v>20</v>
      </c>
      <c r="K52" s="9">
        <v>2006</v>
      </c>
      <c r="L52" s="25">
        <v>2026</v>
      </c>
      <c r="M52" s="25" t="s">
        <v>16</v>
      </c>
    </row>
    <row r="53" spans="1:13" ht="15.75" x14ac:dyDescent="0.25">
      <c r="A53" s="25">
        <v>50</v>
      </c>
      <c r="B53" s="9">
        <v>11455</v>
      </c>
      <c r="C53" s="9" t="s">
        <v>512</v>
      </c>
      <c r="D53" s="9">
        <v>30</v>
      </c>
      <c r="E53" s="29"/>
      <c r="F53" s="25"/>
      <c r="G53" s="25">
        <f>(D53-F53)</f>
        <v>30</v>
      </c>
      <c r="H53" s="27">
        <f t="shared" si="1"/>
        <v>28.5</v>
      </c>
      <c r="I53" s="28">
        <f t="shared" si="2"/>
        <v>1.5</v>
      </c>
      <c r="J53" s="25">
        <f t="shared" si="0"/>
        <v>20</v>
      </c>
      <c r="K53" s="9">
        <v>2006</v>
      </c>
      <c r="L53" s="25">
        <v>2026</v>
      </c>
      <c r="M53" s="25" t="s">
        <v>16</v>
      </c>
    </row>
    <row r="54" spans="1:13" ht="15.75" x14ac:dyDescent="0.25">
      <c r="A54" s="25">
        <v>51</v>
      </c>
      <c r="B54" s="9">
        <v>11459</v>
      </c>
      <c r="C54" s="9" t="s">
        <v>513</v>
      </c>
      <c r="D54" s="9">
        <v>30</v>
      </c>
      <c r="E54" s="29"/>
      <c r="F54" s="25"/>
      <c r="G54" s="25">
        <f>(D54-F54)</f>
        <v>30</v>
      </c>
      <c r="H54" s="27">
        <f t="shared" si="1"/>
        <v>28.5</v>
      </c>
      <c r="I54" s="28">
        <f t="shared" si="2"/>
        <v>1.5</v>
      </c>
      <c r="J54" s="25">
        <f t="shared" si="0"/>
        <v>20</v>
      </c>
      <c r="K54" s="9">
        <v>2006</v>
      </c>
      <c r="L54" s="25">
        <v>2026</v>
      </c>
      <c r="M54" s="25" t="s">
        <v>16</v>
      </c>
    </row>
    <row r="55" spans="1:13" ht="15.75" x14ac:dyDescent="0.25">
      <c r="A55" s="25">
        <v>52</v>
      </c>
      <c r="B55" s="9">
        <v>11460</v>
      </c>
      <c r="C55" s="9" t="s">
        <v>513</v>
      </c>
      <c r="D55" s="9">
        <v>30</v>
      </c>
      <c r="E55" s="25"/>
      <c r="F55" s="25"/>
      <c r="G55" s="25">
        <f>(D55-F55)</f>
        <v>30</v>
      </c>
      <c r="H55" s="27">
        <f t="shared" si="1"/>
        <v>28.5</v>
      </c>
      <c r="I55" s="28">
        <f t="shared" si="2"/>
        <v>1.5</v>
      </c>
      <c r="J55" s="25">
        <f t="shared" si="0"/>
        <v>20</v>
      </c>
      <c r="K55" s="9">
        <v>2006</v>
      </c>
      <c r="L55" s="25">
        <v>2026</v>
      </c>
      <c r="M55" s="25" t="s">
        <v>16</v>
      </c>
    </row>
    <row r="56" spans="1:13" ht="15.75" x14ac:dyDescent="0.25">
      <c r="A56" s="25">
        <v>53</v>
      </c>
      <c r="B56" s="5">
        <v>11466</v>
      </c>
      <c r="C56" s="6" t="s">
        <v>514</v>
      </c>
      <c r="D56" s="5">
        <v>30</v>
      </c>
      <c r="E56" s="29"/>
      <c r="F56" s="25"/>
      <c r="G56" s="25">
        <f>(D56-F56)</f>
        <v>30</v>
      </c>
      <c r="H56" s="27">
        <f t="shared" si="1"/>
        <v>28.5</v>
      </c>
      <c r="I56" s="28">
        <f t="shared" si="2"/>
        <v>1.5</v>
      </c>
      <c r="J56" s="25">
        <f t="shared" si="0"/>
        <v>20</v>
      </c>
      <c r="K56" s="5">
        <v>2006</v>
      </c>
      <c r="L56" s="25">
        <v>2026</v>
      </c>
      <c r="M56" s="25" t="s">
        <v>16</v>
      </c>
    </row>
    <row r="57" spans="1:13" ht="15.75" x14ac:dyDescent="0.25">
      <c r="A57" s="25">
        <v>54</v>
      </c>
      <c r="B57" s="5">
        <v>11469</v>
      </c>
      <c r="C57" s="6" t="s">
        <v>515</v>
      </c>
      <c r="D57" s="5">
        <v>30</v>
      </c>
      <c r="E57" s="29"/>
      <c r="F57" s="25"/>
      <c r="G57" s="25">
        <f>(D57-F57)</f>
        <v>30</v>
      </c>
      <c r="H57" s="27">
        <f t="shared" si="1"/>
        <v>28.5</v>
      </c>
      <c r="I57" s="28">
        <f t="shared" si="2"/>
        <v>1.5</v>
      </c>
      <c r="J57" s="25">
        <f t="shared" si="0"/>
        <v>20</v>
      </c>
      <c r="K57" s="5">
        <v>2006</v>
      </c>
      <c r="L57" s="25">
        <v>2026</v>
      </c>
      <c r="M57" s="25" t="s">
        <v>16</v>
      </c>
    </row>
    <row r="58" spans="1:13" ht="15.75" x14ac:dyDescent="0.25">
      <c r="A58" s="25">
        <v>55</v>
      </c>
      <c r="B58" s="9">
        <v>11496</v>
      </c>
      <c r="C58" s="9" t="s">
        <v>516</v>
      </c>
      <c r="D58" s="9">
        <v>30</v>
      </c>
      <c r="E58" s="29"/>
      <c r="F58" s="25"/>
      <c r="G58" s="25">
        <f>(D58-F58)</f>
        <v>30</v>
      </c>
      <c r="H58" s="27">
        <f t="shared" si="1"/>
        <v>28.5</v>
      </c>
      <c r="I58" s="28">
        <f t="shared" si="2"/>
        <v>1.5</v>
      </c>
      <c r="J58" s="25">
        <f t="shared" si="0"/>
        <v>20</v>
      </c>
      <c r="K58" s="9">
        <v>2006</v>
      </c>
      <c r="L58" s="25">
        <v>2026</v>
      </c>
      <c r="M58" s="25" t="s">
        <v>16</v>
      </c>
    </row>
    <row r="59" spans="1:13" ht="15.75" x14ac:dyDescent="0.25">
      <c r="A59" s="25">
        <v>56</v>
      </c>
      <c r="B59" s="9">
        <v>11497</v>
      </c>
      <c r="C59" s="9" t="s">
        <v>516</v>
      </c>
      <c r="D59" s="9">
        <v>30</v>
      </c>
      <c r="E59" s="29"/>
      <c r="F59" s="25"/>
      <c r="G59" s="25">
        <f>(D59-F59)</f>
        <v>30</v>
      </c>
      <c r="H59" s="27">
        <f t="shared" si="1"/>
        <v>28.5</v>
      </c>
      <c r="I59" s="28">
        <f t="shared" si="2"/>
        <v>1.5</v>
      </c>
      <c r="J59" s="25">
        <f t="shared" si="0"/>
        <v>20</v>
      </c>
      <c r="K59" s="9">
        <v>2006</v>
      </c>
      <c r="L59" s="25">
        <v>2026</v>
      </c>
      <c r="M59" s="25" t="s">
        <v>16</v>
      </c>
    </row>
    <row r="60" spans="1:13" ht="15.75" x14ac:dyDescent="0.25">
      <c r="A60" s="25">
        <v>57</v>
      </c>
      <c r="B60" s="9">
        <v>11498</v>
      </c>
      <c r="C60" s="9" t="s">
        <v>516</v>
      </c>
      <c r="D60" s="9">
        <v>30</v>
      </c>
      <c r="E60" s="29"/>
      <c r="F60" s="25"/>
      <c r="G60" s="25">
        <f>(D60-F60)</f>
        <v>30</v>
      </c>
      <c r="H60" s="27">
        <f t="shared" si="1"/>
        <v>28.5</v>
      </c>
      <c r="I60" s="28">
        <f t="shared" si="2"/>
        <v>1.5</v>
      </c>
      <c r="J60" s="25">
        <f t="shared" si="0"/>
        <v>20</v>
      </c>
      <c r="K60" s="9">
        <v>2006</v>
      </c>
      <c r="L60" s="25">
        <v>2026</v>
      </c>
      <c r="M60" s="25" t="s">
        <v>16</v>
      </c>
    </row>
    <row r="61" spans="1:13" ht="15.75" x14ac:dyDescent="0.25">
      <c r="A61" s="25">
        <v>58</v>
      </c>
      <c r="B61" s="9">
        <v>11499</v>
      </c>
      <c r="C61" s="9" t="s">
        <v>516</v>
      </c>
      <c r="D61" s="9">
        <v>30</v>
      </c>
      <c r="E61" s="29"/>
      <c r="F61" s="25"/>
      <c r="G61" s="25">
        <f>(D61-F61)</f>
        <v>30</v>
      </c>
      <c r="H61" s="27">
        <f t="shared" si="1"/>
        <v>28.5</v>
      </c>
      <c r="I61" s="28">
        <f t="shared" si="2"/>
        <v>1.5</v>
      </c>
      <c r="J61" s="25">
        <f t="shared" si="0"/>
        <v>20</v>
      </c>
      <c r="K61" s="9">
        <v>2006</v>
      </c>
      <c r="L61" s="25">
        <v>2026</v>
      </c>
      <c r="M61" s="25" t="s">
        <v>16</v>
      </c>
    </row>
    <row r="62" spans="1:13" ht="15.75" x14ac:dyDescent="0.25">
      <c r="A62" s="25">
        <v>59</v>
      </c>
      <c r="B62" s="9">
        <v>11500</v>
      </c>
      <c r="C62" s="9" t="s">
        <v>516</v>
      </c>
      <c r="D62" s="9">
        <v>30</v>
      </c>
      <c r="E62" s="29"/>
      <c r="F62" s="25"/>
      <c r="G62" s="25">
        <f>(D62-F62)</f>
        <v>30</v>
      </c>
      <c r="H62" s="27">
        <f t="shared" si="1"/>
        <v>28.5</v>
      </c>
      <c r="I62" s="28">
        <f t="shared" si="2"/>
        <v>1.5</v>
      </c>
      <c r="J62" s="25">
        <f t="shared" si="0"/>
        <v>20</v>
      </c>
      <c r="K62" s="9">
        <v>2006</v>
      </c>
      <c r="L62" s="25">
        <v>2026</v>
      </c>
      <c r="M62" s="25" t="s">
        <v>16</v>
      </c>
    </row>
    <row r="63" spans="1:13" ht="15.75" x14ac:dyDescent="0.25">
      <c r="A63" s="25">
        <v>60</v>
      </c>
      <c r="B63" s="9">
        <v>11501</v>
      </c>
      <c r="C63" s="9" t="s">
        <v>517</v>
      </c>
      <c r="D63" s="9">
        <v>30</v>
      </c>
      <c r="E63" s="29"/>
      <c r="F63" s="25"/>
      <c r="G63" s="25">
        <f>(D63-F63)</f>
        <v>30</v>
      </c>
      <c r="H63" s="27">
        <f t="shared" si="1"/>
        <v>28.5</v>
      </c>
      <c r="I63" s="28">
        <f t="shared" si="2"/>
        <v>1.5</v>
      </c>
      <c r="J63" s="25">
        <f t="shared" si="0"/>
        <v>20</v>
      </c>
      <c r="K63" s="9">
        <v>2006</v>
      </c>
      <c r="L63" s="25">
        <v>2026</v>
      </c>
      <c r="M63" s="25" t="s">
        <v>16</v>
      </c>
    </row>
    <row r="64" spans="1:13" ht="15.75" x14ac:dyDescent="0.25">
      <c r="A64" s="25">
        <v>61</v>
      </c>
      <c r="B64" s="9">
        <v>11502</v>
      </c>
      <c r="C64" s="9" t="s">
        <v>517</v>
      </c>
      <c r="D64" s="9">
        <v>30</v>
      </c>
      <c r="E64" s="29"/>
      <c r="F64" s="25"/>
      <c r="G64" s="25">
        <f>(D64-F64)</f>
        <v>30</v>
      </c>
      <c r="H64" s="27">
        <f t="shared" si="1"/>
        <v>28.5</v>
      </c>
      <c r="I64" s="28">
        <f t="shared" si="2"/>
        <v>1.5</v>
      </c>
      <c r="J64" s="25">
        <f t="shared" si="0"/>
        <v>20</v>
      </c>
      <c r="K64" s="9">
        <v>2006</v>
      </c>
      <c r="L64" s="25">
        <v>2026</v>
      </c>
      <c r="M64" s="25" t="s">
        <v>16</v>
      </c>
    </row>
    <row r="65" spans="1:13" ht="15.75" x14ac:dyDescent="0.25">
      <c r="A65" s="25">
        <v>62</v>
      </c>
      <c r="B65" s="9">
        <v>11503</v>
      </c>
      <c r="C65" s="9" t="s">
        <v>518</v>
      </c>
      <c r="D65" s="9">
        <v>30</v>
      </c>
      <c r="E65" s="29"/>
      <c r="F65" s="25"/>
      <c r="G65" s="25">
        <f>(D65-F65)</f>
        <v>30</v>
      </c>
      <c r="H65" s="27">
        <f t="shared" si="1"/>
        <v>28.5</v>
      </c>
      <c r="I65" s="28">
        <f t="shared" si="2"/>
        <v>1.5</v>
      </c>
      <c r="J65" s="25">
        <f t="shared" si="0"/>
        <v>20</v>
      </c>
      <c r="K65" s="9">
        <v>2006</v>
      </c>
      <c r="L65" s="25">
        <v>2026</v>
      </c>
      <c r="M65" s="25" t="s">
        <v>16</v>
      </c>
    </row>
    <row r="66" spans="1:13" ht="15.75" x14ac:dyDescent="0.25">
      <c r="A66" s="25">
        <v>63</v>
      </c>
      <c r="B66" s="9">
        <v>11504</v>
      </c>
      <c r="C66" s="9" t="s">
        <v>517</v>
      </c>
      <c r="D66" s="9">
        <v>30</v>
      </c>
      <c r="E66" s="29"/>
      <c r="F66" s="25"/>
      <c r="G66" s="25">
        <f>(D66-F66)</f>
        <v>30</v>
      </c>
      <c r="H66" s="27">
        <f t="shared" si="1"/>
        <v>28.5</v>
      </c>
      <c r="I66" s="28">
        <f t="shared" si="2"/>
        <v>1.5</v>
      </c>
      <c r="J66" s="25">
        <f t="shared" si="0"/>
        <v>20</v>
      </c>
      <c r="K66" s="9">
        <v>2006</v>
      </c>
      <c r="L66" s="25">
        <v>2026</v>
      </c>
      <c r="M66" s="25" t="s">
        <v>16</v>
      </c>
    </row>
    <row r="67" spans="1:13" ht="15.75" x14ac:dyDescent="0.25">
      <c r="A67" s="25">
        <v>64</v>
      </c>
      <c r="B67" s="9">
        <v>11507</v>
      </c>
      <c r="C67" s="9" t="s">
        <v>519</v>
      </c>
      <c r="D67" s="9">
        <v>30</v>
      </c>
      <c r="E67" s="29"/>
      <c r="F67" s="25"/>
      <c r="G67" s="25">
        <f>(D67-F67)</f>
        <v>30</v>
      </c>
      <c r="H67" s="27">
        <f t="shared" si="1"/>
        <v>28.5</v>
      </c>
      <c r="I67" s="28">
        <f t="shared" si="2"/>
        <v>1.5</v>
      </c>
      <c r="J67" s="25">
        <f t="shared" si="0"/>
        <v>20</v>
      </c>
      <c r="K67" s="9">
        <v>2006</v>
      </c>
      <c r="L67" s="25">
        <v>2026</v>
      </c>
      <c r="M67" s="25" t="s">
        <v>16</v>
      </c>
    </row>
    <row r="68" spans="1:13" ht="15.75" x14ac:dyDescent="0.25">
      <c r="A68" s="25">
        <v>65</v>
      </c>
      <c r="B68" s="9">
        <v>11705</v>
      </c>
      <c r="C68" s="9" t="s">
        <v>520</v>
      </c>
      <c r="D68" s="9">
        <v>196.5</v>
      </c>
      <c r="E68" s="29"/>
      <c r="F68" s="25"/>
      <c r="G68" s="25">
        <f>(D68-F68)</f>
        <v>196.5</v>
      </c>
      <c r="H68" s="27">
        <f t="shared" si="1"/>
        <v>186.67499999999998</v>
      </c>
      <c r="I68" s="28">
        <f t="shared" si="2"/>
        <v>9.8250000000000171</v>
      </c>
      <c r="J68" s="25">
        <f t="shared" ref="J68:J131" si="3">(L68-K68)</f>
        <v>20</v>
      </c>
      <c r="K68" s="9">
        <v>2006</v>
      </c>
      <c r="L68" s="25">
        <v>2026</v>
      </c>
      <c r="M68" s="25" t="s">
        <v>16</v>
      </c>
    </row>
    <row r="69" spans="1:13" ht="15.75" x14ac:dyDescent="0.25">
      <c r="A69" s="25">
        <v>66</v>
      </c>
      <c r="B69" s="5">
        <v>11763</v>
      </c>
      <c r="C69" s="6" t="s">
        <v>521</v>
      </c>
      <c r="D69" s="5">
        <v>30</v>
      </c>
      <c r="E69" s="25"/>
      <c r="F69" s="25"/>
      <c r="G69" s="25">
        <f>(D69-F69)</f>
        <v>30</v>
      </c>
      <c r="H69" s="27">
        <f t="shared" ref="H69:H132" si="4">(G69*0.95)</f>
        <v>28.5</v>
      </c>
      <c r="I69" s="28">
        <f t="shared" ref="I69:I132" si="5">(G69-H69)</f>
        <v>1.5</v>
      </c>
      <c r="J69" s="25">
        <f t="shared" si="3"/>
        <v>20</v>
      </c>
      <c r="K69" s="5">
        <v>2006</v>
      </c>
      <c r="L69" s="25">
        <v>2026</v>
      </c>
      <c r="M69" s="25" t="s">
        <v>16</v>
      </c>
    </row>
    <row r="70" spans="1:13" ht="15.75" x14ac:dyDescent="0.25">
      <c r="A70" s="25">
        <v>67</v>
      </c>
      <c r="B70" s="5">
        <v>11765</v>
      </c>
      <c r="C70" s="6" t="s">
        <v>521</v>
      </c>
      <c r="D70" s="5">
        <v>30</v>
      </c>
      <c r="E70" s="29"/>
      <c r="F70" s="25"/>
      <c r="G70" s="25">
        <f>(D70-F70)</f>
        <v>30</v>
      </c>
      <c r="H70" s="27">
        <f t="shared" si="4"/>
        <v>28.5</v>
      </c>
      <c r="I70" s="28">
        <f t="shared" si="5"/>
        <v>1.5</v>
      </c>
      <c r="J70" s="25">
        <f t="shared" si="3"/>
        <v>20</v>
      </c>
      <c r="K70" s="5">
        <v>2006</v>
      </c>
      <c r="L70" s="25">
        <v>2026</v>
      </c>
      <c r="M70" s="25" t="s">
        <v>16</v>
      </c>
    </row>
    <row r="71" spans="1:13" ht="15.75" x14ac:dyDescent="0.25">
      <c r="A71" s="25">
        <v>68</v>
      </c>
      <c r="B71" s="5">
        <v>11766</v>
      </c>
      <c r="C71" s="6" t="s">
        <v>521</v>
      </c>
      <c r="D71" s="5">
        <v>30</v>
      </c>
      <c r="E71" s="25"/>
      <c r="F71" s="25"/>
      <c r="G71" s="25">
        <f>(D71-F71)</f>
        <v>30</v>
      </c>
      <c r="H71" s="27">
        <f t="shared" si="4"/>
        <v>28.5</v>
      </c>
      <c r="I71" s="28">
        <f t="shared" si="5"/>
        <v>1.5</v>
      </c>
      <c r="J71" s="25">
        <f t="shared" si="3"/>
        <v>20</v>
      </c>
      <c r="K71" s="5">
        <v>2006</v>
      </c>
      <c r="L71" s="25">
        <v>2026</v>
      </c>
      <c r="M71" s="25" t="s">
        <v>16</v>
      </c>
    </row>
    <row r="72" spans="1:13" ht="15.75" x14ac:dyDescent="0.25">
      <c r="A72" s="25">
        <v>69</v>
      </c>
      <c r="B72" s="5">
        <v>11768</v>
      </c>
      <c r="C72" s="6" t="s">
        <v>522</v>
      </c>
      <c r="D72" s="5">
        <v>30</v>
      </c>
      <c r="E72" s="25"/>
      <c r="F72" s="25"/>
      <c r="G72" s="25">
        <f>(D72-F72)</f>
        <v>30</v>
      </c>
      <c r="H72" s="27">
        <f t="shared" si="4"/>
        <v>28.5</v>
      </c>
      <c r="I72" s="28">
        <f t="shared" si="5"/>
        <v>1.5</v>
      </c>
      <c r="J72" s="25">
        <f t="shared" si="3"/>
        <v>20</v>
      </c>
      <c r="K72" s="5">
        <v>2006</v>
      </c>
      <c r="L72" s="25">
        <v>2026</v>
      </c>
      <c r="M72" s="25" t="s">
        <v>16</v>
      </c>
    </row>
    <row r="73" spans="1:13" ht="15.75" x14ac:dyDescent="0.25">
      <c r="A73" s="25">
        <v>70</v>
      </c>
      <c r="B73" s="5">
        <v>11771</v>
      </c>
      <c r="C73" s="6" t="s">
        <v>523</v>
      </c>
      <c r="D73" s="5">
        <v>30</v>
      </c>
      <c r="E73" s="25"/>
      <c r="F73" s="25"/>
      <c r="G73" s="25">
        <f>(D73-F73)</f>
        <v>30</v>
      </c>
      <c r="H73" s="27">
        <f t="shared" si="4"/>
        <v>28.5</v>
      </c>
      <c r="I73" s="28">
        <f t="shared" si="5"/>
        <v>1.5</v>
      </c>
      <c r="J73" s="25">
        <f t="shared" si="3"/>
        <v>20</v>
      </c>
      <c r="K73" s="5">
        <v>2006</v>
      </c>
      <c r="L73" s="25">
        <v>2026</v>
      </c>
      <c r="M73" s="25" t="s">
        <v>16</v>
      </c>
    </row>
    <row r="74" spans="1:13" ht="15.75" x14ac:dyDescent="0.25">
      <c r="A74" s="25">
        <v>71</v>
      </c>
      <c r="B74" s="5">
        <v>11781</v>
      </c>
      <c r="C74" s="6" t="s">
        <v>524</v>
      </c>
      <c r="D74" s="5">
        <v>15</v>
      </c>
      <c r="E74" s="26"/>
      <c r="F74" s="30"/>
      <c r="G74" s="25">
        <f>(D74-F74)</f>
        <v>15</v>
      </c>
      <c r="H74" s="27">
        <f t="shared" si="4"/>
        <v>14.25</v>
      </c>
      <c r="I74" s="28">
        <f t="shared" si="5"/>
        <v>0.75</v>
      </c>
      <c r="J74" s="25">
        <f t="shared" si="3"/>
        <v>20</v>
      </c>
      <c r="K74" s="5">
        <v>2006</v>
      </c>
      <c r="L74" s="25">
        <v>2026</v>
      </c>
      <c r="M74" s="25" t="s">
        <v>16</v>
      </c>
    </row>
    <row r="75" spans="1:13" ht="15.75" x14ac:dyDescent="0.25">
      <c r="A75" s="25">
        <v>72</v>
      </c>
      <c r="B75" s="5">
        <v>11790</v>
      </c>
      <c r="C75" s="6" t="s">
        <v>525</v>
      </c>
      <c r="D75" s="6">
        <v>85</v>
      </c>
      <c r="E75" s="29"/>
      <c r="F75" s="25"/>
      <c r="G75" s="25">
        <f>(D75-F75)</f>
        <v>85</v>
      </c>
      <c r="H75" s="27">
        <f t="shared" si="4"/>
        <v>80.75</v>
      </c>
      <c r="I75" s="28">
        <f t="shared" si="5"/>
        <v>4.25</v>
      </c>
      <c r="J75" s="25">
        <f t="shared" si="3"/>
        <v>20</v>
      </c>
      <c r="K75" s="5">
        <v>2006</v>
      </c>
      <c r="L75" s="25">
        <v>2026</v>
      </c>
      <c r="M75" s="25" t="s">
        <v>16</v>
      </c>
    </row>
    <row r="76" spans="1:13" ht="15.75" x14ac:dyDescent="0.25">
      <c r="A76" s="25">
        <v>73</v>
      </c>
      <c r="B76" s="5">
        <v>11831</v>
      </c>
      <c r="C76" s="6" t="s">
        <v>526</v>
      </c>
      <c r="D76" s="5">
        <v>35</v>
      </c>
      <c r="E76" s="29"/>
      <c r="F76" s="25"/>
      <c r="G76" s="25">
        <f>(D76-F76)</f>
        <v>35</v>
      </c>
      <c r="H76" s="27">
        <f t="shared" si="4"/>
        <v>33.25</v>
      </c>
      <c r="I76" s="28">
        <f t="shared" si="5"/>
        <v>1.75</v>
      </c>
      <c r="J76" s="25">
        <f t="shared" si="3"/>
        <v>19</v>
      </c>
      <c r="K76" s="5">
        <v>2007</v>
      </c>
      <c r="L76" s="25">
        <v>2026</v>
      </c>
      <c r="M76" s="25" t="s">
        <v>16</v>
      </c>
    </row>
    <row r="77" spans="1:13" ht="15.75" x14ac:dyDescent="0.25">
      <c r="A77" s="25">
        <v>74</v>
      </c>
      <c r="B77" s="5">
        <v>11837</v>
      </c>
      <c r="C77" s="6" t="s">
        <v>527</v>
      </c>
      <c r="D77" s="5">
        <v>40</v>
      </c>
      <c r="E77" s="29"/>
      <c r="F77" s="25"/>
      <c r="G77" s="25">
        <f>(D77-F77)</f>
        <v>40</v>
      </c>
      <c r="H77" s="27">
        <f t="shared" si="4"/>
        <v>38</v>
      </c>
      <c r="I77" s="28">
        <f t="shared" si="5"/>
        <v>2</v>
      </c>
      <c r="J77" s="25">
        <f t="shared" si="3"/>
        <v>19</v>
      </c>
      <c r="K77" s="5">
        <v>2007</v>
      </c>
      <c r="L77" s="25">
        <v>2026</v>
      </c>
      <c r="M77" s="25" t="s">
        <v>16</v>
      </c>
    </row>
    <row r="78" spans="1:13" ht="15.75" x14ac:dyDescent="0.25">
      <c r="A78" s="25">
        <v>75</v>
      </c>
      <c r="B78" s="5">
        <v>11862</v>
      </c>
      <c r="C78" s="6" t="s">
        <v>528</v>
      </c>
      <c r="D78" s="5">
        <v>25</v>
      </c>
      <c r="E78" s="29"/>
      <c r="F78" s="25"/>
      <c r="G78" s="25">
        <f>(D78-F78)</f>
        <v>25</v>
      </c>
      <c r="H78" s="27">
        <f t="shared" si="4"/>
        <v>23.75</v>
      </c>
      <c r="I78" s="28">
        <f t="shared" si="5"/>
        <v>1.25</v>
      </c>
      <c r="J78" s="25">
        <f t="shared" si="3"/>
        <v>19</v>
      </c>
      <c r="K78" s="5">
        <v>2007</v>
      </c>
      <c r="L78" s="25">
        <v>2026</v>
      </c>
      <c r="M78" s="25" t="s">
        <v>16</v>
      </c>
    </row>
    <row r="79" spans="1:13" ht="15.75" x14ac:dyDescent="0.25">
      <c r="A79" s="25">
        <v>76</v>
      </c>
      <c r="B79" s="5">
        <v>12032</v>
      </c>
      <c r="C79" s="6" t="s">
        <v>529</v>
      </c>
      <c r="D79" s="6">
        <v>417</v>
      </c>
      <c r="E79" s="29"/>
      <c r="F79" s="25"/>
      <c r="G79" s="25">
        <f>(D79-F79)</f>
        <v>417</v>
      </c>
      <c r="H79" s="27">
        <f t="shared" si="4"/>
        <v>396.15</v>
      </c>
      <c r="I79" s="28">
        <f t="shared" si="5"/>
        <v>20.850000000000023</v>
      </c>
      <c r="J79" s="25">
        <f t="shared" si="3"/>
        <v>19</v>
      </c>
      <c r="K79" s="6">
        <v>2007</v>
      </c>
      <c r="L79" s="25">
        <v>2026</v>
      </c>
      <c r="M79" s="25" t="s">
        <v>16</v>
      </c>
    </row>
    <row r="80" spans="1:13" ht="15.75" x14ac:dyDescent="0.25">
      <c r="A80" s="25">
        <v>77</v>
      </c>
      <c r="B80" s="5">
        <v>12045</v>
      </c>
      <c r="C80" s="6" t="s">
        <v>530</v>
      </c>
      <c r="D80" s="6">
        <v>65</v>
      </c>
      <c r="E80" s="29"/>
      <c r="F80" s="25"/>
      <c r="G80" s="25">
        <f>(D80-F80)</f>
        <v>65</v>
      </c>
      <c r="H80" s="27">
        <f t="shared" si="4"/>
        <v>61.75</v>
      </c>
      <c r="I80" s="28">
        <f t="shared" si="5"/>
        <v>3.25</v>
      </c>
      <c r="J80" s="25">
        <f t="shared" si="3"/>
        <v>19</v>
      </c>
      <c r="K80" s="5">
        <v>2007</v>
      </c>
      <c r="L80" s="25">
        <v>2026</v>
      </c>
      <c r="M80" s="25" t="s">
        <v>16</v>
      </c>
    </row>
    <row r="81" spans="1:13" ht="15.75" x14ac:dyDescent="0.25">
      <c r="A81" s="25">
        <v>78</v>
      </c>
      <c r="B81" s="5">
        <v>12047</v>
      </c>
      <c r="C81" s="6" t="s">
        <v>531</v>
      </c>
      <c r="D81" s="6">
        <v>65</v>
      </c>
      <c r="E81" s="29"/>
      <c r="F81" s="25"/>
      <c r="G81" s="25">
        <f>(D81-F81)</f>
        <v>65</v>
      </c>
      <c r="H81" s="27">
        <f t="shared" si="4"/>
        <v>61.75</v>
      </c>
      <c r="I81" s="28">
        <f t="shared" si="5"/>
        <v>3.25</v>
      </c>
      <c r="J81" s="25">
        <f t="shared" si="3"/>
        <v>19</v>
      </c>
      <c r="K81" s="5">
        <v>2007</v>
      </c>
      <c r="L81" s="25">
        <v>2026</v>
      </c>
      <c r="M81" s="25" t="s">
        <v>16</v>
      </c>
    </row>
    <row r="82" spans="1:13" ht="15.75" x14ac:dyDescent="0.25">
      <c r="A82" s="25">
        <v>79</v>
      </c>
      <c r="B82" s="5">
        <v>12050</v>
      </c>
      <c r="C82" s="6" t="s">
        <v>532</v>
      </c>
      <c r="D82" s="6">
        <v>132.55000000000001</v>
      </c>
      <c r="E82" s="29"/>
      <c r="F82" s="25"/>
      <c r="G82" s="25">
        <f>(D82-F82)</f>
        <v>132.55000000000001</v>
      </c>
      <c r="H82" s="27">
        <f t="shared" si="4"/>
        <v>125.9225</v>
      </c>
      <c r="I82" s="28">
        <f t="shared" si="5"/>
        <v>6.6275000000000119</v>
      </c>
      <c r="J82" s="25">
        <f t="shared" si="3"/>
        <v>19</v>
      </c>
      <c r="K82" s="5">
        <v>2007</v>
      </c>
      <c r="L82" s="25">
        <v>2026</v>
      </c>
      <c r="M82" s="25" t="s">
        <v>16</v>
      </c>
    </row>
    <row r="83" spans="1:13" ht="15.75" x14ac:dyDescent="0.25">
      <c r="A83" s="25">
        <v>80</v>
      </c>
      <c r="B83" s="5">
        <v>12073</v>
      </c>
      <c r="C83" s="6" t="s">
        <v>533</v>
      </c>
      <c r="D83" s="6">
        <v>100</v>
      </c>
      <c r="E83" s="29"/>
      <c r="F83" s="25"/>
      <c r="G83" s="25">
        <f>(D83-F83)</f>
        <v>100</v>
      </c>
      <c r="H83" s="27">
        <f t="shared" si="4"/>
        <v>95</v>
      </c>
      <c r="I83" s="28">
        <f t="shared" si="5"/>
        <v>5</v>
      </c>
      <c r="J83" s="25">
        <f t="shared" si="3"/>
        <v>19</v>
      </c>
      <c r="K83" s="5">
        <v>2007</v>
      </c>
      <c r="L83" s="25">
        <v>2026</v>
      </c>
      <c r="M83" s="25" t="s">
        <v>16</v>
      </c>
    </row>
    <row r="84" spans="1:13" ht="15.75" x14ac:dyDescent="0.25">
      <c r="A84" s="25">
        <v>81</v>
      </c>
      <c r="B84" s="5">
        <v>12160</v>
      </c>
      <c r="C84" s="6" t="s">
        <v>534</v>
      </c>
      <c r="D84" s="6">
        <v>110</v>
      </c>
      <c r="E84" s="29"/>
      <c r="F84" s="25"/>
      <c r="G84" s="25">
        <f>(D84-F84)</f>
        <v>110</v>
      </c>
      <c r="H84" s="27">
        <f t="shared" si="4"/>
        <v>104.5</v>
      </c>
      <c r="I84" s="28">
        <f t="shared" si="5"/>
        <v>5.5</v>
      </c>
      <c r="J84" s="25">
        <f t="shared" si="3"/>
        <v>19</v>
      </c>
      <c r="K84" s="5">
        <v>2007</v>
      </c>
      <c r="L84" s="25">
        <v>2026</v>
      </c>
      <c r="M84" s="25" t="s">
        <v>16</v>
      </c>
    </row>
    <row r="85" spans="1:13" ht="15.75" x14ac:dyDescent="0.25">
      <c r="A85" s="25">
        <v>82</v>
      </c>
      <c r="B85" s="5">
        <v>12187</v>
      </c>
      <c r="C85" s="6" t="s">
        <v>535</v>
      </c>
      <c r="D85" s="6">
        <v>108</v>
      </c>
      <c r="E85" s="29"/>
      <c r="F85" s="25"/>
      <c r="G85" s="25">
        <f>(D85-F85)</f>
        <v>108</v>
      </c>
      <c r="H85" s="27">
        <f t="shared" si="4"/>
        <v>102.6</v>
      </c>
      <c r="I85" s="28">
        <f t="shared" si="5"/>
        <v>5.4000000000000057</v>
      </c>
      <c r="J85" s="25">
        <f t="shared" si="3"/>
        <v>19</v>
      </c>
      <c r="K85" s="5">
        <v>2007</v>
      </c>
      <c r="L85" s="25">
        <v>2026</v>
      </c>
      <c r="M85" s="25" t="s">
        <v>16</v>
      </c>
    </row>
    <row r="86" spans="1:13" ht="15.75" x14ac:dyDescent="0.25">
      <c r="A86" s="25">
        <v>83</v>
      </c>
      <c r="B86" s="5">
        <v>12189</v>
      </c>
      <c r="C86" s="6" t="s">
        <v>536</v>
      </c>
      <c r="D86" s="6">
        <v>118.25</v>
      </c>
      <c r="E86" s="29"/>
      <c r="F86" s="25"/>
      <c r="G86" s="25">
        <f>(D86-F86)</f>
        <v>118.25</v>
      </c>
      <c r="H86" s="27">
        <f t="shared" si="4"/>
        <v>112.33749999999999</v>
      </c>
      <c r="I86" s="28">
        <f t="shared" si="5"/>
        <v>5.9125000000000085</v>
      </c>
      <c r="J86" s="25">
        <f t="shared" si="3"/>
        <v>19</v>
      </c>
      <c r="K86" s="5">
        <v>2007</v>
      </c>
      <c r="L86" s="25">
        <v>2026</v>
      </c>
      <c r="M86" s="25" t="s">
        <v>16</v>
      </c>
    </row>
    <row r="87" spans="1:13" ht="15.75" x14ac:dyDescent="0.25">
      <c r="A87" s="25">
        <v>84</v>
      </c>
      <c r="B87" s="5">
        <v>12201</v>
      </c>
      <c r="C87" s="6" t="s">
        <v>537</v>
      </c>
      <c r="D87" s="6">
        <v>118.25</v>
      </c>
      <c r="E87" s="29"/>
      <c r="F87" s="25"/>
      <c r="G87" s="25">
        <f>(D87-F87)</f>
        <v>118.25</v>
      </c>
      <c r="H87" s="27">
        <f t="shared" si="4"/>
        <v>112.33749999999999</v>
      </c>
      <c r="I87" s="28">
        <f t="shared" si="5"/>
        <v>5.9125000000000085</v>
      </c>
      <c r="J87" s="25">
        <f t="shared" si="3"/>
        <v>19</v>
      </c>
      <c r="K87" s="5">
        <v>2007</v>
      </c>
      <c r="L87" s="25">
        <v>2026</v>
      </c>
      <c r="M87" s="25" t="s">
        <v>16</v>
      </c>
    </row>
    <row r="88" spans="1:13" ht="15.75" x14ac:dyDescent="0.25">
      <c r="A88" s="25">
        <v>85</v>
      </c>
      <c r="B88" s="9">
        <v>12231</v>
      </c>
      <c r="C88" s="9" t="s">
        <v>538</v>
      </c>
      <c r="D88" s="9">
        <v>30</v>
      </c>
      <c r="E88" s="29"/>
      <c r="F88" s="25"/>
      <c r="G88" s="25">
        <f>(D88-F88)</f>
        <v>30</v>
      </c>
      <c r="H88" s="27">
        <f t="shared" si="4"/>
        <v>28.5</v>
      </c>
      <c r="I88" s="28">
        <f t="shared" si="5"/>
        <v>1.5</v>
      </c>
      <c r="J88" s="25">
        <f t="shared" si="3"/>
        <v>19</v>
      </c>
      <c r="K88" s="5">
        <v>2007</v>
      </c>
      <c r="L88" s="25">
        <v>2026</v>
      </c>
      <c r="M88" s="25" t="s">
        <v>16</v>
      </c>
    </row>
    <row r="89" spans="1:13" ht="15.75" x14ac:dyDescent="0.25">
      <c r="A89" s="25">
        <v>86</v>
      </c>
      <c r="B89" s="5">
        <v>12262</v>
      </c>
      <c r="C89" s="6" t="s">
        <v>539</v>
      </c>
      <c r="D89" s="6">
        <v>40</v>
      </c>
      <c r="E89" s="29"/>
      <c r="F89" s="25"/>
      <c r="G89" s="25">
        <f>(D89-F89)</f>
        <v>40</v>
      </c>
      <c r="H89" s="27">
        <f t="shared" si="4"/>
        <v>38</v>
      </c>
      <c r="I89" s="28">
        <f t="shared" si="5"/>
        <v>2</v>
      </c>
      <c r="J89" s="25">
        <f t="shared" si="3"/>
        <v>19</v>
      </c>
      <c r="K89" s="5">
        <v>2007</v>
      </c>
      <c r="L89" s="25">
        <v>2026</v>
      </c>
      <c r="M89" s="25" t="s">
        <v>16</v>
      </c>
    </row>
    <row r="90" spans="1:13" ht="15.75" x14ac:dyDescent="0.25">
      <c r="A90" s="25">
        <v>87</v>
      </c>
      <c r="B90" s="9">
        <v>12274</v>
      </c>
      <c r="C90" s="9" t="s">
        <v>540</v>
      </c>
      <c r="D90" s="9">
        <v>30</v>
      </c>
      <c r="E90" s="29"/>
      <c r="F90" s="25"/>
      <c r="G90" s="25">
        <f>(D90-F90)</f>
        <v>30</v>
      </c>
      <c r="H90" s="27">
        <f t="shared" si="4"/>
        <v>28.5</v>
      </c>
      <c r="I90" s="28">
        <f t="shared" si="5"/>
        <v>1.5</v>
      </c>
      <c r="J90" s="25">
        <f t="shared" si="3"/>
        <v>19</v>
      </c>
      <c r="K90" s="5">
        <v>2007</v>
      </c>
      <c r="L90" s="25">
        <v>2026</v>
      </c>
      <c r="M90" s="25" t="s">
        <v>16</v>
      </c>
    </row>
    <row r="91" spans="1:13" ht="15.75" x14ac:dyDescent="0.25">
      <c r="A91" s="25">
        <v>88</v>
      </c>
      <c r="B91" s="9">
        <v>12276</v>
      </c>
      <c r="C91" s="9" t="s">
        <v>541</v>
      </c>
      <c r="D91" s="9">
        <v>30</v>
      </c>
      <c r="E91" s="29"/>
      <c r="F91" s="25"/>
      <c r="G91" s="25">
        <f>(D91-F91)</f>
        <v>30</v>
      </c>
      <c r="H91" s="27">
        <f t="shared" si="4"/>
        <v>28.5</v>
      </c>
      <c r="I91" s="28">
        <f t="shared" si="5"/>
        <v>1.5</v>
      </c>
      <c r="J91" s="25">
        <f t="shared" si="3"/>
        <v>19</v>
      </c>
      <c r="K91" s="5">
        <v>2007</v>
      </c>
      <c r="L91" s="25">
        <v>2026</v>
      </c>
      <c r="M91" s="25" t="s">
        <v>16</v>
      </c>
    </row>
    <row r="92" spans="1:13" ht="15.75" x14ac:dyDescent="0.25">
      <c r="A92" s="25">
        <v>89</v>
      </c>
      <c r="B92" s="9">
        <v>12276</v>
      </c>
      <c r="C92" s="9" t="s">
        <v>542</v>
      </c>
      <c r="D92" s="9">
        <v>30</v>
      </c>
      <c r="E92" s="29"/>
      <c r="F92" s="25"/>
      <c r="G92" s="25">
        <f>(D92-F92)</f>
        <v>30</v>
      </c>
      <c r="H92" s="27">
        <f t="shared" si="4"/>
        <v>28.5</v>
      </c>
      <c r="I92" s="28">
        <f t="shared" si="5"/>
        <v>1.5</v>
      </c>
      <c r="J92" s="25">
        <f t="shared" si="3"/>
        <v>19</v>
      </c>
      <c r="K92" s="5">
        <v>2007</v>
      </c>
      <c r="L92" s="25">
        <v>2026</v>
      </c>
      <c r="M92" s="25" t="s">
        <v>16</v>
      </c>
    </row>
    <row r="93" spans="1:13" ht="15.75" x14ac:dyDescent="0.25">
      <c r="A93" s="25">
        <v>90</v>
      </c>
      <c r="B93" s="9">
        <v>12279</v>
      </c>
      <c r="C93" s="9" t="s">
        <v>543</v>
      </c>
      <c r="D93" s="9">
        <v>30</v>
      </c>
      <c r="E93" s="29"/>
      <c r="F93" s="25"/>
      <c r="G93" s="25">
        <f>(D93-F93)</f>
        <v>30</v>
      </c>
      <c r="H93" s="27">
        <f t="shared" si="4"/>
        <v>28.5</v>
      </c>
      <c r="I93" s="28">
        <f t="shared" si="5"/>
        <v>1.5</v>
      </c>
      <c r="J93" s="25">
        <f t="shared" si="3"/>
        <v>19</v>
      </c>
      <c r="K93" s="5">
        <v>2007</v>
      </c>
      <c r="L93" s="25">
        <v>2026</v>
      </c>
      <c r="M93" s="25" t="s">
        <v>16</v>
      </c>
    </row>
    <row r="94" spans="1:13" ht="15.75" x14ac:dyDescent="0.25">
      <c r="A94" s="25">
        <v>91</v>
      </c>
      <c r="B94" s="5">
        <v>12280</v>
      </c>
      <c r="C94" s="6" t="s">
        <v>544</v>
      </c>
      <c r="D94" s="5">
        <v>30</v>
      </c>
      <c r="E94" s="29"/>
      <c r="F94" s="25"/>
      <c r="G94" s="25">
        <f>(D94-F94)</f>
        <v>30</v>
      </c>
      <c r="H94" s="27">
        <f t="shared" si="4"/>
        <v>28.5</v>
      </c>
      <c r="I94" s="28">
        <f t="shared" si="5"/>
        <v>1.5</v>
      </c>
      <c r="J94" s="25">
        <f t="shared" si="3"/>
        <v>19</v>
      </c>
      <c r="K94" s="5">
        <v>2007</v>
      </c>
      <c r="L94" s="25">
        <v>2026</v>
      </c>
      <c r="M94" s="25" t="s">
        <v>16</v>
      </c>
    </row>
    <row r="95" spans="1:13" ht="15.75" x14ac:dyDescent="0.25">
      <c r="A95" s="25">
        <v>92</v>
      </c>
      <c r="B95" s="9">
        <v>12292</v>
      </c>
      <c r="C95" s="9" t="s">
        <v>543</v>
      </c>
      <c r="D95" s="9">
        <v>30</v>
      </c>
      <c r="E95" s="29"/>
      <c r="F95" s="25"/>
      <c r="G95" s="25">
        <f>(D95-F95)</f>
        <v>30</v>
      </c>
      <c r="H95" s="27">
        <f t="shared" si="4"/>
        <v>28.5</v>
      </c>
      <c r="I95" s="28">
        <f t="shared" si="5"/>
        <v>1.5</v>
      </c>
      <c r="J95" s="25">
        <f t="shared" si="3"/>
        <v>19</v>
      </c>
      <c r="K95" s="5">
        <v>2007</v>
      </c>
      <c r="L95" s="25">
        <v>2026</v>
      </c>
      <c r="M95" s="25" t="s">
        <v>16</v>
      </c>
    </row>
    <row r="96" spans="1:13" ht="15.75" x14ac:dyDescent="0.25">
      <c r="A96" s="25">
        <v>93</v>
      </c>
      <c r="B96" s="9">
        <v>12293</v>
      </c>
      <c r="C96" s="9" t="s">
        <v>545</v>
      </c>
      <c r="D96" s="9">
        <v>30</v>
      </c>
      <c r="E96" s="29"/>
      <c r="F96" s="25"/>
      <c r="G96" s="25">
        <f>(D96-F96)</f>
        <v>30</v>
      </c>
      <c r="H96" s="27">
        <f t="shared" si="4"/>
        <v>28.5</v>
      </c>
      <c r="I96" s="28">
        <f t="shared" si="5"/>
        <v>1.5</v>
      </c>
      <c r="J96" s="25">
        <f t="shared" si="3"/>
        <v>19</v>
      </c>
      <c r="K96" s="5">
        <v>2007</v>
      </c>
      <c r="L96" s="25">
        <v>2026</v>
      </c>
      <c r="M96" s="25" t="s">
        <v>16</v>
      </c>
    </row>
    <row r="97" spans="1:13" ht="15.75" x14ac:dyDescent="0.25">
      <c r="A97" s="25">
        <v>94</v>
      </c>
      <c r="B97" s="9">
        <v>12296</v>
      </c>
      <c r="C97" s="9" t="s">
        <v>546</v>
      </c>
      <c r="D97" s="9">
        <v>30</v>
      </c>
      <c r="E97" s="29"/>
      <c r="F97" s="25"/>
      <c r="G97" s="25">
        <f>(D97-F97)</f>
        <v>30</v>
      </c>
      <c r="H97" s="27">
        <f t="shared" si="4"/>
        <v>28.5</v>
      </c>
      <c r="I97" s="28">
        <f t="shared" si="5"/>
        <v>1.5</v>
      </c>
      <c r="J97" s="25">
        <f t="shared" si="3"/>
        <v>19</v>
      </c>
      <c r="K97" s="5">
        <v>2007</v>
      </c>
      <c r="L97" s="25">
        <v>2026</v>
      </c>
      <c r="M97" s="25" t="s">
        <v>16</v>
      </c>
    </row>
    <row r="98" spans="1:13" ht="15.75" x14ac:dyDescent="0.25">
      <c r="A98" s="25">
        <v>95</v>
      </c>
      <c r="B98" s="9">
        <v>12297</v>
      </c>
      <c r="C98" s="9" t="s">
        <v>546</v>
      </c>
      <c r="D98" s="9">
        <v>30</v>
      </c>
      <c r="E98" s="29"/>
      <c r="F98" s="25"/>
      <c r="G98" s="25">
        <f>(D98-F98)</f>
        <v>30</v>
      </c>
      <c r="H98" s="27">
        <f t="shared" si="4"/>
        <v>28.5</v>
      </c>
      <c r="I98" s="28">
        <f t="shared" si="5"/>
        <v>1.5</v>
      </c>
      <c r="J98" s="25">
        <f t="shared" si="3"/>
        <v>19</v>
      </c>
      <c r="K98" s="5">
        <v>2007</v>
      </c>
      <c r="L98" s="25">
        <v>2026</v>
      </c>
      <c r="M98" s="25" t="s">
        <v>16</v>
      </c>
    </row>
    <row r="99" spans="1:13" ht="15.75" x14ac:dyDescent="0.25">
      <c r="A99" s="25">
        <v>96</v>
      </c>
      <c r="B99" s="9">
        <v>12300</v>
      </c>
      <c r="C99" s="9" t="s">
        <v>546</v>
      </c>
      <c r="D99" s="9">
        <v>30</v>
      </c>
      <c r="E99" s="29"/>
      <c r="F99" s="25"/>
      <c r="G99" s="25">
        <f>(D99-F99)</f>
        <v>30</v>
      </c>
      <c r="H99" s="27">
        <f t="shared" si="4"/>
        <v>28.5</v>
      </c>
      <c r="I99" s="28">
        <f t="shared" si="5"/>
        <v>1.5</v>
      </c>
      <c r="J99" s="25">
        <f t="shared" si="3"/>
        <v>19</v>
      </c>
      <c r="K99" s="5">
        <v>2007</v>
      </c>
      <c r="L99" s="25">
        <v>2026</v>
      </c>
      <c r="M99" s="25" t="s">
        <v>16</v>
      </c>
    </row>
    <row r="100" spans="1:13" ht="15.75" x14ac:dyDescent="0.25">
      <c r="A100" s="25">
        <v>97</v>
      </c>
      <c r="B100" s="5">
        <v>12302</v>
      </c>
      <c r="C100" s="6" t="s">
        <v>539</v>
      </c>
      <c r="D100" s="6">
        <v>40</v>
      </c>
      <c r="E100" s="29"/>
      <c r="F100" s="25"/>
      <c r="G100" s="25">
        <f>(D100-F100)</f>
        <v>40</v>
      </c>
      <c r="H100" s="27">
        <f t="shared" si="4"/>
        <v>38</v>
      </c>
      <c r="I100" s="28">
        <f t="shared" si="5"/>
        <v>2</v>
      </c>
      <c r="J100" s="25">
        <f t="shared" si="3"/>
        <v>19</v>
      </c>
      <c r="K100" s="6">
        <v>2007</v>
      </c>
      <c r="L100" s="25">
        <v>2026</v>
      </c>
      <c r="M100" s="25" t="s">
        <v>16</v>
      </c>
    </row>
    <row r="101" spans="1:13" ht="15.75" x14ac:dyDescent="0.25">
      <c r="A101" s="25">
        <v>98</v>
      </c>
      <c r="B101" s="9">
        <v>12304</v>
      </c>
      <c r="C101" s="9" t="s">
        <v>542</v>
      </c>
      <c r="D101" s="9">
        <v>30</v>
      </c>
      <c r="E101" s="29"/>
      <c r="F101" s="25"/>
      <c r="G101" s="25">
        <f>(D101-F101)</f>
        <v>30</v>
      </c>
      <c r="H101" s="27">
        <f t="shared" si="4"/>
        <v>28.5</v>
      </c>
      <c r="I101" s="28">
        <f t="shared" si="5"/>
        <v>1.5</v>
      </c>
      <c r="J101" s="25">
        <f t="shared" si="3"/>
        <v>19</v>
      </c>
      <c r="K101" s="9">
        <v>2007</v>
      </c>
      <c r="L101" s="25">
        <v>2026</v>
      </c>
      <c r="M101" s="25" t="s">
        <v>16</v>
      </c>
    </row>
    <row r="102" spans="1:13" ht="15.75" x14ac:dyDescent="0.25">
      <c r="A102" s="25">
        <v>99</v>
      </c>
      <c r="B102" s="9">
        <v>12306</v>
      </c>
      <c r="C102" s="9" t="s">
        <v>542</v>
      </c>
      <c r="D102" s="9">
        <v>30</v>
      </c>
      <c r="E102" s="29"/>
      <c r="F102" s="25"/>
      <c r="G102" s="25">
        <f>(D102-F102)</f>
        <v>30</v>
      </c>
      <c r="H102" s="27">
        <f t="shared" si="4"/>
        <v>28.5</v>
      </c>
      <c r="I102" s="28">
        <f t="shared" si="5"/>
        <v>1.5</v>
      </c>
      <c r="J102" s="25">
        <f t="shared" si="3"/>
        <v>13</v>
      </c>
      <c r="K102" s="9">
        <v>2013</v>
      </c>
      <c r="L102" s="25">
        <v>2026</v>
      </c>
      <c r="M102" s="25" t="s">
        <v>16</v>
      </c>
    </row>
    <row r="103" spans="1:13" ht="15.75" x14ac:dyDescent="0.25">
      <c r="A103" s="25">
        <v>100</v>
      </c>
      <c r="B103" s="9">
        <v>12307</v>
      </c>
      <c r="C103" s="9" t="s">
        <v>542</v>
      </c>
      <c r="D103" s="9">
        <v>30</v>
      </c>
      <c r="E103" s="29"/>
      <c r="F103" s="25"/>
      <c r="G103" s="25">
        <f>(D103-F103)</f>
        <v>30</v>
      </c>
      <c r="H103" s="27">
        <f t="shared" si="4"/>
        <v>28.5</v>
      </c>
      <c r="I103" s="28">
        <f t="shared" si="5"/>
        <v>1.5</v>
      </c>
      <c r="J103" s="25">
        <f t="shared" si="3"/>
        <v>19</v>
      </c>
      <c r="K103" s="9">
        <v>2007</v>
      </c>
      <c r="L103" s="25">
        <v>2026</v>
      </c>
      <c r="M103" s="25" t="s">
        <v>16</v>
      </c>
    </row>
    <row r="104" spans="1:13" ht="15.75" x14ac:dyDescent="0.25">
      <c r="A104" s="25">
        <v>101</v>
      </c>
      <c r="B104" s="9">
        <v>12308</v>
      </c>
      <c r="C104" s="9" t="s">
        <v>540</v>
      </c>
      <c r="D104" s="9">
        <v>30</v>
      </c>
      <c r="E104" s="29"/>
      <c r="F104" s="25"/>
      <c r="G104" s="25">
        <f>(D104-F104)</f>
        <v>30</v>
      </c>
      <c r="H104" s="27">
        <f t="shared" si="4"/>
        <v>28.5</v>
      </c>
      <c r="I104" s="28">
        <f t="shared" si="5"/>
        <v>1.5</v>
      </c>
      <c r="J104" s="25">
        <f t="shared" si="3"/>
        <v>19</v>
      </c>
      <c r="K104" s="9">
        <v>2007</v>
      </c>
      <c r="L104" s="25">
        <v>2026</v>
      </c>
      <c r="M104" s="25" t="s">
        <v>16</v>
      </c>
    </row>
    <row r="105" spans="1:13" ht="15.75" x14ac:dyDescent="0.25">
      <c r="A105" s="25">
        <v>102</v>
      </c>
      <c r="B105" s="9">
        <v>12309</v>
      </c>
      <c r="C105" s="9" t="s">
        <v>541</v>
      </c>
      <c r="D105" s="9">
        <v>30</v>
      </c>
      <c r="E105" s="29"/>
      <c r="F105" s="25"/>
      <c r="G105" s="25">
        <f>(D105-F105)</f>
        <v>30</v>
      </c>
      <c r="H105" s="27">
        <f t="shared" si="4"/>
        <v>28.5</v>
      </c>
      <c r="I105" s="28">
        <f t="shared" si="5"/>
        <v>1.5</v>
      </c>
      <c r="J105" s="25">
        <f t="shared" si="3"/>
        <v>19</v>
      </c>
      <c r="K105" s="9">
        <v>2007</v>
      </c>
      <c r="L105" s="25">
        <v>2026</v>
      </c>
      <c r="M105" s="25" t="s">
        <v>16</v>
      </c>
    </row>
    <row r="106" spans="1:13" ht="15.75" x14ac:dyDescent="0.25">
      <c r="A106" s="25">
        <v>103</v>
      </c>
      <c r="B106" s="9">
        <v>12311</v>
      </c>
      <c r="C106" s="9" t="s">
        <v>541</v>
      </c>
      <c r="D106" s="9">
        <v>30</v>
      </c>
      <c r="E106" s="29"/>
      <c r="F106" s="25"/>
      <c r="G106" s="25">
        <f>(D106-F106)</f>
        <v>30</v>
      </c>
      <c r="H106" s="27">
        <f t="shared" si="4"/>
        <v>28.5</v>
      </c>
      <c r="I106" s="28">
        <f t="shared" si="5"/>
        <v>1.5</v>
      </c>
      <c r="J106" s="25">
        <f t="shared" si="3"/>
        <v>19</v>
      </c>
      <c r="K106" s="9">
        <v>2007</v>
      </c>
      <c r="L106" s="25">
        <v>2026</v>
      </c>
      <c r="M106" s="25" t="s">
        <v>16</v>
      </c>
    </row>
    <row r="107" spans="1:13" ht="15.75" x14ac:dyDescent="0.25">
      <c r="A107" s="25">
        <v>104</v>
      </c>
      <c r="B107" s="9">
        <v>12312</v>
      </c>
      <c r="C107" s="9" t="s">
        <v>541</v>
      </c>
      <c r="D107" s="9">
        <v>30</v>
      </c>
      <c r="E107" s="29"/>
      <c r="F107" s="25"/>
      <c r="G107" s="25">
        <f>(D107-F107)</f>
        <v>30</v>
      </c>
      <c r="H107" s="27">
        <f t="shared" si="4"/>
        <v>28.5</v>
      </c>
      <c r="I107" s="28">
        <f t="shared" si="5"/>
        <v>1.5</v>
      </c>
      <c r="J107" s="25">
        <f t="shared" si="3"/>
        <v>19</v>
      </c>
      <c r="K107" s="9">
        <v>2007</v>
      </c>
      <c r="L107" s="25">
        <v>2026</v>
      </c>
      <c r="M107" s="25" t="s">
        <v>16</v>
      </c>
    </row>
    <row r="108" spans="1:13" ht="15.75" x14ac:dyDescent="0.25">
      <c r="A108" s="25">
        <v>105</v>
      </c>
      <c r="B108" s="9">
        <v>12314</v>
      </c>
      <c r="C108" s="9" t="s">
        <v>547</v>
      </c>
      <c r="D108" s="9">
        <v>30</v>
      </c>
      <c r="E108" s="29"/>
      <c r="F108" s="25"/>
      <c r="G108" s="25">
        <f>(D108-F108)</f>
        <v>30</v>
      </c>
      <c r="H108" s="27">
        <f t="shared" si="4"/>
        <v>28.5</v>
      </c>
      <c r="I108" s="28">
        <f t="shared" si="5"/>
        <v>1.5</v>
      </c>
      <c r="J108" s="25">
        <f t="shared" si="3"/>
        <v>19</v>
      </c>
      <c r="K108" s="9">
        <v>2007</v>
      </c>
      <c r="L108" s="25">
        <v>2026</v>
      </c>
      <c r="M108" s="25" t="s">
        <v>16</v>
      </c>
    </row>
    <row r="109" spans="1:13" ht="15.75" x14ac:dyDescent="0.25">
      <c r="A109" s="25">
        <v>106</v>
      </c>
      <c r="B109" s="5">
        <v>12315</v>
      </c>
      <c r="C109" s="6" t="s">
        <v>548</v>
      </c>
      <c r="D109" s="5">
        <v>30</v>
      </c>
      <c r="E109" s="29"/>
      <c r="F109" s="25"/>
      <c r="G109" s="25">
        <f>(D109-F109)</f>
        <v>30</v>
      </c>
      <c r="H109" s="27">
        <f t="shared" si="4"/>
        <v>28.5</v>
      </c>
      <c r="I109" s="28">
        <f t="shared" si="5"/>
        <v>1.5</v>
      </c>
      <c r="J109" s="25">
        <f t="shared" si="3"/>
        <v>19</v>
      </c>
      <c r="K109" s="5">
        <v>2007</v>
      </c>
      <c r="L109" s="25">
        <v>2026</v>
      </c>
      <c r="M109" s="25" t="s">
        <v>16</v>
      </c>
    </row>
    <row r="110" spans="1:13" ht="15.75" x14ac:dyDescent="0.25">
      <c r="A110" s="25">
        <v>107</v>
      </c>
      <c r="B110" s="9">
        <v>12316</v>
      </c>
      <c r="C110" s="9" t="s">
        <v>547</v>
      </c>
      <c r="D110" s="9">
        <v>30</v>
      </c>
      <c r="E110" s="29"/>
      <c r="F110" s="25"/>
      <c r="G110" s="25">
        <f>(D110-F110)</f>
        <v>30</v>
      </c>
      <c r="H110" s="27">
        <f t="shared" si="4"/>
        <v>28.5</v>
      </c>
      <c r="I110" s="28">
        <f t="shared" si="5"/>
        <v>1.5</v>
      </c>
      <c r="J110" s="25">
        <f t="shared" si="3"/>
        <v>19</v>
      </c>
      <c r="K110" s="9">
        <v>2007</v>
      </c>
      <c r="L110" s="25">
        <v>2026</v>
      </c>
      <c r="M110" s="25" t="s">
        <v>16</v>
      </c>
    </row>
    <row r="111" spans="1:13" ht="15.75" x14ac:dyDescent="0.25">
      <c r="A111" s="25">
        <v>108</v>
      </c>
      <c r="B111" s="9">
        <v>12317</v>
      </c>
      <c r="C111" s="9" t="s">
        <v>547</v>
      </c>
      <c r="D111" s="9">
        <v>30</v>
      </c>
      <c r="E111" s="29"/>
      <c r="F111" s="25"/>
      <c r="G111" s="25">
        <f>(D111-F111)</f>
        <v>30</v>
      </c>
      <c r="H111" s="27">
        <f t="shared" si="4"/>
        <v>28.5</v>
      </c>
      <c r="I111" s="28">
        <f t="shared" si="5"/>
        <v>1.5</v>
      </c>
      <c r="J111" s="25">
        <f t="shared" si="3"/>
        <v>19</v>
      </c>
      <c r="K111" s="9">
        <v>2007</v>
      </c>
      <c r="L111" s="25">
        <v>2026</v>
      </c>
      <c r="M111" s="25" t="s">
        <v>16</v>
      </c>
    </row>
    <row r="112" spans="1:13" ht="15.75" x14ac:dyDescent="0.25">
      <c r="A112" s="25">
        <v>109</v>
      </c>
      <c r="B112" s="9">
        <v>12318</v>
      </c>
      <c r="C112" s="9" t="s">
        <v>547</v>
      </c>
      <c r="D112" s="9">
        <v>30</v>
      </c>
      <c r="E112" s="29"/>
      <c r="F112" s="25"/>
      <c r="G112" s="25">
        <f>(D112-F112)</f>
        <v>30</v>
      </c>
      <c r="H112" s="27">
        <f t="shared" si="4"/>
        <v>28.5</v>
      </c>
      <c r="I112" s="28">
        <f t="shared" si="5"/>
        <v>1.5</v>
      </c>
      <c r="J112" s="25">
        <f t="shared" si="3"/>
        <v>19</v>
      </c>
      <c r="K112" s="9">
        <v>2007</v>
      </c>
      <c r="L112" s="25">
        <v>2026</v>
      </c>
      <c r="M112" s="25" t="s">
        <v>16</v>
      </c>
    </row>
    <row r="113" spans="1:13" ht="15.75" x14ac:dyDescent="0.25">
      <c r="A113" s="25">
        <v>110</v>
      </c>
      <c r="B113" s="9">
        <v>12319</v>
      </c>
      <c r="C113" s="9" t="s">
        <v>545</v>
      </c>
      <c r="D113" s="9">
        <v>30</v>
      </c>
      <c r="E113" s="29"/>
      <c r="F113" s="25"/>
      <c r="G113" s="25">
        <f>(D113-F113)</f>
        <v>30</v>
      </c>
      <c r="H113" s="27">
        <f t="shared" si="4"/>
        <v>28.5</v>
      </c>
      <c r="I113" s="28">
        <f t="shared" si="5"/>
        <v>1.5</v>
      </c>
      <c r="J113" s="25">
        <f t="shared" si="3"/>
        <v>19</v>
      </c>
      <c r="K113" s="9">
        <v>2007</v>
      </c>
      <c r="L113" s="25">
        <v>2026</v>
      </c>
      <c r="M113" s="25" t="s">
        <v>16</v>
      </c>
    </row>
    <row r="114" spans="1:13" ht="15.75" x14ac:dyDescent="0.25">
      <c r="A114" s="25">
        <v>111</v>
      </c>
      <c r="B114" s="9">
        <v>12322</v>
      </c>
      <c r="C114" s="9" t="s">
        <v>545</v>
      </c>
      <c r="D114" s="9">
        <v>30</v>
      </c>
      <c r="E114" s="29"/>
      <c r="F114" s="25"/>
      <c r="G114" s="25">
        <f>(D114-F114)</f>
        <v>30</v>
      </c>
      <c r="H114" s="27">
        <f t="shared" si="4"/>
        <v>28.5</v>
      </c>
      <c r="I114" s="28">
        <f t="shared" si="5"/>
        <v>1.5</v>
      </c>
      <c r="J114" s="25">
        <f t="shared" si="3"/>
        <v>19</v>
      </c>
      <c r="K114" s="9">
        <v>2007</v>
      </c>
      <c r="L114" s="25">
        <v>2026</v>
      </c>
      <c r="M114" s="25" t="s">
        <v>16</v>
      </c>
    </row>
    <row r="115" spans="1:13" ht="15.75" x14ac:dyDescent="0.25">
      <c r="A115" s="25">
        <v>112</v>
      </c>
      <c r="B115" s="9">
        <v>12325</v>
      </c>
      <c r="C115" s="9" t="s">
        <v>549</v>
      </c>
      <c r="D115" s="9">
        <v>30</v>
      </c>
      <c r="E115" s="29"/>
      <c r="F115" s="25"/>
      <c r="G115" s="25">
        <f>(D115-F115)</f>
        <v>30</v>
      </c>
      <c r="H115" s="27">
        <f t="shared" si="4"/>
        <v>28.5</v>
      </c>
      <c r="I115" s="28">
        <f t="shared" si="5"/>
        <v>1.5</v>
      </c>
      <c r="J115" s="25">
        <f t="shared" si="3"/>
        <v>19</v>
      </c>
      <c r="K115" s="9">
        <v>2007</v>
      </c>
      <c r="L115" s="25">
        <v>2026</v>
      </c>
      <c r="M115" s="25" t="s">
        <v>16</v>
      </c>
    </row>
    <row r="116" spans="1:13" ht="15.75" x14ac:dyDescent="0.25">
      <c r="A116" s="25">
        <v>113</v>
      </c>
      <c r="B116" s="9">
        <v>12326</v>
      </c>
      <c r="C116" s="9" t="s">
        <v>543</v>
      </c>
      <c r="D116" s="9">
        <v>30</v>
      </c>
      <c r="E116" s="29"/>
      <c r="F116" s="25"/>
      <c r="G116" s="25">
        <f>(D116-F116)</f>
        <v>30</v>
      </c>
      <c r="H116" s="27">
        <f t="shared" si="4"/>
        <v>28.5</v>
      </c>
      <c r="I116" s="28">
        <f t="shared" si="5"/>
        <v>1.5</v>
      </c>
      <c r="J116" s="25">
        <f t="shared" si="3"/>
        <v>19</v>
      </c>
      <c r="K116" s="9">
        <v>2007</v>
      </c>
      <c r="L116" s="25">
        <v>2026</v>
      </c>
      <c r="M116" s="25" t="s">
        <v>16</v>
      </c>
    </row>
    <row r="117" spans="1:13" ht="15.75" x14ac:dyDescent="0.25">
      <c r="A117" s="25">
        <v>114</v>
      </c>
      <c r="B117" s="9">
        <v>12328</v>
      </c>
      <c r="C117" s="9" t="s">
        <v>543</v>
      </c>
      <c r="D117" s="9">
        <v>30</v>
      </c>
      <c r="E117" s="29"/>
      <c r="F117" s="25"/>
      <c r="G117" s="25">
        <f>(D117-F117)</f>
        <v>30</v>
      </c>
      <c r="H117" s="27">
        <f t="shared" si="4"/>
        <v>28.5</v>
      </c>
      <c r="I117" s="28">
        <f t="shared" si="5"/>
        <v>1.5</v>
      </c>
      <c r="J117" s="25">
        <f t="shared" si="3"/>
        <v>19</v>
      </c>
      <c r="K117" s="9">
        <v>2007</v>
      </c>
      <c r="L117" s="25">
        <v>2026</v>
      </c>
      <c r="M117" s="25" t="s">
        <v>16</v>
      </c>
    </row>
    <row r="118" spans="1:13" ht="15.75" x14ac:dyDescent="0.25">
      <c r="A118" s="25">
        <v>115</v>
      </c>
      <c r="B118" s="9">
        <v>12329</v>
      </c>
      <c r="C118" s="9" t="s">
        <v>538</v>
      </c>
      <c r="D118" s="9">
        <v>30</v>
      </c>
      <c r="E118" s="29"/>
      <c r="F118" s="25"/>
      <c r="G118" s="25">
        <f>(D118-F118)</f>
        <v>30</v>
      </c>
      <c r="H118" s="27">
        <f t="shared" si="4"/>
        <v>28.5</v>
      </c>
      <c r="I118" s="28">
        <f t="shared" si="5"/>
        <v>1.5</v>
      </c>
      <c r="J118" s="25">
        <f t="shared" si="3"/>
        <v>19</v>
      </c>
      <c r="K118" s="9">
        <v>2007</v>
      </c>
      <c r="L118" s="25">
        <v>2026</v>
      </c>
      <c r="M118" s="25" t="s">
        <v>16</v>
      </c>
    </row>
    <row r="119" spans="1:13" ht="15.75" x14ac:dyDescent="0.25">
      <c r="A119" s="25">
        <v>116</v>
      </c>
      <c r="B119" s="9">
        <v>12330</v>
      </c>
      <c r="C119" s="9" t="s">
        <v>538</v>
      </c>
      <c r="D119" s="9">
        <v>30</v>
      </c>
      <c r="E119" s="29"/>
      <c r="F119" s="25"/>
      <c r="G119" s="25">
        <f>(D119-F119)</f>
        <v>30</v>
      </c>
      <c r="H119" s="27">
        <f t="shared" si="4"/>
        <v>28.5</v>
      </c>
      <c r="I119" s="28">
        <f t="shared" si="5"/>
        <v>1.5</v>
      </c>
      <c r="J119" s="25">
        <f t="shared" si="3"/>
        <v>19</v>
      </c>
      <c r="K119" s="9">
        <v>2007</v>
      </c>
      <c r="L119" s="25">
        <v>2026</v>
      </c>
      <c r="M119" s="25" t="s">
        <v>16</v>
      </c>
    </row>
    <row r="120" spans="1:13" ht="15.75" x14ac:dyDescent="0.25">
      <c r="A120" s="25">
        <v>117</v>
      </c>
      <c r="B120" s="9">
        <v>12332</v>
      </c>
      <c r="C120" s="9" t="s">
        <v>538</v>
      </c>
      <c r="D120" s="9">
        <v>30</v>
      </c>
      <c r="E120" s="29"/>
      <c r="F120" s="25"/>
      <c r="G120" s="25">
        <f>(D120-F120)</f>
        <v>30</v>
      </c>
      <c r="H120" s="27">
        <f t="shared" si="4"/>
        <v>28.5</v>
      </c>
      <c r="I120" s="28">
        <f t="shared" si="5"/>
        <v>1.5</v>
      </c>
      <c r="J120" s="25">
        <f t="shared" si="3"/>
        <v>19</v>
      </c>
      <c r="K120" s="9">
        <v>2007</v>
      </c>
      <c r="L120" s="25">
        <v>2026</v>
      </c>
      <c r="M120" s="25" t="s">
        <v>16</v>
      </c>
    </row>
    <row r="121" spans="1:13" ht="15.75" x14ac:dyDescent="0.25">
      <c r="A121" s="25">
        <v>118</v>
      </c>
      <c r="B121" s="9">
        <v>12334</v>
      </c>
      <c r="C121" s="9" t="s">
        <v>550</v>
      </c>
      <c r="D121" s="9">
        <v>30</v>
      </c>
      <c r="E121" s="29"/>
      <c r="F121" s="25"/>
      <c r="G121" s="25">
        <f>(D121-F121)</f>
        <v>30</v>
      </c>
      <c r="H121" s="27">
        <f t="shared" si="4"/>
        <v>28.5</v>
      </c>
      <c r="I121" s="28">
        <f t="shared" si="5"/>
        <v>1.5</v>
      </c>
      <c r="J121" s="25">
        <f t="shared" si="3"/>
        <v>19</v>
      </c>
      <c r="K121" s="9">
        <v>2007</v>
      </c>
      <c r="L121" s="25">
        <v>2026</v>
      </c>
      <c r="M121" s="25" t="s">
        <v>16</v>
      </c>
    </row>
    <row r="122" spans="1:13" ht="15.75" x14ac:dyDescent="0.25">
      <c r="A122" s="25">
        <v>119</v>
      </c>
      <c r="B122" s="9">
        <v>12335</v>
      </c>
      <c r="C122" s="9" t="s">
        <v>550</v>
      </c>
      <c r="D122" s="9">
        <v>30</v>
      </c>
      <c r="E122" s="29"/>
      <c r="F122" s="25"/>
      <c r="G122" s="25">
        <f>(D122-F122)</f>
        <v>30</v>
      </c>
      <c r="H122" s="27">
        <f t="shared" si="4"/>
        <v>28.5</v>
      </c>
      <c r="I122" s="28">
        <f t="shared" si="5"/>
        <v>1.5</v>
      </c>
      <c r="J122" s="25">
        <f t="shared" si="3"/>
        <v>19</v>
      </c>
      <c r="K122" s="9">
        <v>2007</v>
      </c>
      <c r="L122" s="25">
        <v>2026</v>
      </c>
      <c r="M122" s="25" t="s">
        <v>16</v>
      </c>
    </row>
    <row r="123" spans="1:13" ht="15.75" x14ac:dyDescent="0.25">
      <c r="A123" s="25">
        <v>120</v>
      </c>
      <c r="B123" s="9">
        <v>12338</v>
      </c>
      <c r="C123" s="9" t="s">
        <v>550</v>
      </c>
      <c r="D123" s="9">
        <v>30</v>
      </c>
      <c r="E123" s="29"/>
      <c r="F123" s="25"/>
      <c r="G123" s="25">
        <f>(D123-F123)</f>
        <v>30</v>
      </c>
      <c r="H123" s="27">
        <f t="shared" si="4"/>
        <v>28.5</v>
      </c>
      <c r="I123" s="28">
        <f t="shared" si="5"/>
        <v>1.5</v>
      </c>
      <c r="J123" s="25">
        <f t="shared" si="3"/>
        <v>19</v>
      </c>
      <c r="K123" s="9">
        <v>2007</v>
      </c>
      <c r="L123" s="25">
        <v>2026</v>
      </c>
      <c r="M123" s="25" t="s">
        <v>16</v>
      </c>
    </row>
    <row r="124" spans="1:13" ht="15.75" x14ac:dyDescent="0.25">
      <c r="A124" s="25">
        <v>121</v>
      </c>
      <c r="B124" s="9">
        <v>12339</v>
      </c>
      <c r="C124" s="9" t="s">
        <v>551</v>
      </c>
      <c r="D124" s="9">
        <v>20</v>
      </c>
      <c r="E124" s="29"/>
      <c r="F124" s="25"/>
      <c r="G124" s="25">
        <f>(D124-F124)</f>
        <v>20</v>
      </c>
      <c r="H124" s="27">
        <f t="shared" si="4"/>
        <v>19</v>
      </c>
      <c r="I124" s="28">
        <f t="shared" si="5"/>
        <v>1</v>
      </c>
      <c r="J124" s="25">
        <f t="shared" si="3"/>
        <v>19</v>
      </c>
      <c r="K124" s="9">
        <v>2007</v>
      </c>
      <c r="L124" s="25">
        <v>2026</v>
      </c>
      <c r="M124" s="25" t="s">
        <v>16</v>
      </c>
    </row>
    <row r="125" spans="1:13" ht="15.75" x14ac:dyDescent="0.25">
      <c r="A125" s="25">
        <v>122</v>
      </c>
      <c r="B125" s="9">
        <v>12342</v>
      </c>
      <c r="C125" s="9" t="s">
        <v>551</v>
      </c>
      <c r="D125" s="9">
        <v>20</v>
      </c>
      <c r="E125" s="29"/>
      <c r="F125" s="25"/>
      <c r="G125" s="25">
        <f>(D125-F125)</f>
        <v>20</v>
      </c>
      <c r="H125" s="27">
        <f t="shared" si="4"/>
        <v>19</v>
      </c>
      <c r="I125" s="28">
        <f t="shared" si="5"/>
        <v>1</v>
      </c>
      <c r="J125" s="25">
        <f t="shared" si="3"/>
        <v>19</v>
      </c>
      <c r="K125" s="9">
        <v>2007</v>
      </c>
      <c r="L125" s="25">
        <v>2026</v>
      </c>
      <c r="M125" s="25" t="s">
        <v>16</v>
      </c>
    </row>
    <row r="126" spans="1:13" ht="15.75" x14ac:dyDescent="0.25">
      <c r="A126" s="25">
        <v>123</v>
      </c>
      <c r="B126" s="5">
        <v>12344</v>
      </c>
      <c r="C126" s="6" t="s">
        <v>552</v>
      </c>
      <c r="D126" s="5">
        <v>30</v>
      </c>
      <c r="E126" s="29"/>
      <c r="F126" s="25"/>
      <c r="G126" s="25">
        <f>(D126-F126)</f>
        <v>30</v>
      </c>
      <c r="H126" s="27">
        <f t="shared" si="4"/>
        <v>28.5</v>
      </c>
      <c r="I126" s="28">
        <f t="shared" si="5"/>
        <v>1.5</v>
      </c>
      <c r="J126" s="25">
        <f t="shared" si="3"/>
        <v>19</v>
      </c>
      <c r="K126" s="5">
        <v>2007</v>
      </c>
      <c r="L126" s="25">
        <v>2026</v>
      </c>
      <c r="M126" s="25" t="s">
        <v>16</v>
      </c>
    </row>
    <row r="127" spans="1:13" ht="15.75" x14ac:dyDescent="0.25">
      <c r="A127" s="25">
        <v>124</v>
      </c>
      <c r="B127" s="5">
        <v>12346</v>
      </c>
      <c r="C127" s="6" t="s">
        <v>553</v>
      </c>
      <c r="D127" s="5">
        <v>30</v>
      </c>
      <c r="E127" s="29"/>
      <c r="F127" s="25"/>
      <c r="G127" s="25">
        <f>(D127-F127)</f>
        <v>30</v>
      </c>
      <c r="H127" s="27">
        <f t="shared" si="4"/>
        <v>28.5</v>
      </c>
      <c r="I127" s="28">
        <f t="shared" si="5"/>
        <v>1.5</v>
      </c>
      <c r="J127" s="25">
        <f t="shared" si="3"/>
        <v>19</v>
      </c>
      <c r="K127" s="5">
        <v>2007</v>
      </c>
      <c r="L127" s="25">
        <v>2026</v>
      </c>
      <c r="M127" s="25" t="s">
        <v>16</v>
      </c>
    </row>
    <row r="128" spans="1:13" ht="15.75" x14ac:dyDescent="0.25">
      <c r="A128" s="25">
        <v>125</v>
      </c>
      <c r="B128" s="5">
        <v>12347</v>
      </c>
      <c r="C128" s="6" t="s">
        <v>553</v>
      </c>
      <c r="D128" s="5">
        <v>30</v>
      </c>
      <c r="E128" s="29"/>
      <c r="F128" s="25"/>
      <c r="G128" s="25">
        <f>(D128-F128)</f>
        <v>30</v>
      </c>
      <c r="H128" s="27">
        <f t="shared" si="4"/>
        <v>28.5</v>
      </c>
      <c r="I128" s="28">
        <f t="shared" si="5"/>
        <v>1.5</v>
      </c>
      <c r="J128" s="25">
        <f t="shared" si="3"/>
        <v>19</v>
      </c>
      <c r="K128" s="5">
        <v>2007</v>
      </c>
      <c r="L128" s="25">
        <v>2026</v>
      </c>
      <c r="M128" s="25" t="s">
        <v>16</v>
      </c>
    </row>
    <row r="129" spans="1:13" ht="15.75" x14ac:dyDescent="0.25">
      <c r="A129" s="25">
        <v>126</v>
      </c>
      <c r="B129" s="5">
        <v>12348</v>
      </c>
      <c r="C129" s="6" t="s">
        <v>553</v>
      </c>
      <c r="D129" s="5">
        <v>30</v>
      </c>
      <c r="E129" s="29"/>
      <c r="F129" s="25"/>
      <c r="G129" s="25">
        <f>(D129-F129)</f>
        <v>30</v>
      </c>
      <c r="H129" s="27">
        <f t="shared" si="4"/>
        <v>28.5</v>
      </c>
      <c r="I129" s="28">
        <f t="shared" si="5"/>
        <v>1.5</v>
      </c>
      <c r="J129" s="25">
        <f t="shared" si="3"/>
        <v>19</v>
      </c>
      <c r="K129" s="5">
        <v>2007</v>
      </c>
      <c r="L129" s="25">
        <v>2026</v>
      </c>
      <c r="M129" s="25" t="s">
        <v>16</v>
      </c>
    </row>
    <row r="130" spans="1:13" ht="15.75" x14ac:dyDescent="0.25">
      <c r="A130" s="25">
        <v>127</v>
      </c>
      <c r="B130" s="9">
        <v>12350</v>
      </c>
      <c r="C130" s="9" t="s">
        <v>554</v>
      </c>
      <c r="D130" s="9">
        <v>30</v>
      </c>
      <c r="E130" s="29"/>
      <c r="F130" s="25"/>
      <c r="G130" s="25">
        <f>(D130-F130)</f>
        <v>30</v>
      </c>
      <c r="H130" s="27">
        <f t="shared" si="4"/>
        <v>28.5</v>
      </c>
      <c r="I130" s="28">
        <f t="shared" si="5"/>
        <v>1.5</v>
      </c>
      <c r="J130" s="25">
        <f t="shared" si="3"/>
        <v>19</v>
      </c>
      <c r="K130" s="9">
        <v>2007</v>
      </c>
      <c r="L130" s="25">
        <v>2026</v>
      </c>
      <c r="M130" s="25" t="s">
        <v>16</v>
      </c>
    </row>
    <row r="131" spans="1:13" ht="15.75" x14ac:dyDescent="0.25">
      <c r="A131" s="25">
        <v>128</v>
      </c>
      <c r="B131" s="9">
        <v>12352</v>
      </c>
      <c r="C131" s="9" t="s">
        <v>554</v>
      </c>
      <c r="D131" s="9">
        <v>30</v>
      </c>
      <c r="E131" s="29"/>
      <c r="F131" s="25"/>
      <c r="G131" s="25">
        <f>(D131-F131)</f>
        <v>30</v>
      </c>
      <c r="H131" s="27">
        <f t="shared" si="4"/>
        <v>28.5</v>
      </c>
      <c r="I131" s="28">
        <f t="shared" si="5"/>
        <v>1.5</v>
      </c>
      <c r="J131" s="25">
        <f t="shared" si="3"/>
        <v>19</v>
      </c>
      <c r="K131" s="9">
        <v>2007</v>
      </c>
      <c r="L131" s="25">
        <v>2026</v>
      </c>
      <c r="M131" s="25" t="s">
        <v>16</v>
      </c>
    </row>
    <row r="132" spans="1:13" ht="15.75" x14ac:dyDescent="0.25">
      <c r="A132" s="25">
        <v>129</v>
      </c>
      <c r="B132" s="9">
        <v>12358</v>
      </c>
      <c r="C132" s="9" t="s">
        <v>555</v>
      </c>
      <c r="D132" s="9">
        <v>30</v>
      </c>
      <c r="E132" s="29"/>
      <c r="F132" s="25"/>
      <c r="G132" s="25">
        <f>(D132-F132)</f>
        <v>30</v>
      </c>
      <c r="H132" s="27">
        <f t="shared" si="4"/>
        <v>28.5</v>
      </c>
      <c r="I132" s="28">
        <f t="shared" si="5"/>
        <v>1.5</v>
      </c>
      <c r="J132" s="25">
        <f t="shared" ref="J132:J195" si="6">(L132-K132)</f>
        <v>19</v>
      </c>
      <c r="K132" s="9">
        <v>2007</v>
      </c>
      <c r="L132" s="25">
        <v>2026</v>
      </c>
      <c r="M132" s="25" t="s">
        <v>16</v>
      </c>
    </row>
    <row r="133" spans="1:13" ht="15.75" x14ac:dyDescent="0.25">
      <c r="A133" s="25">
        <v>130</v>
      </c>
      <c r="B133" s="5">
        <v>12359</v>
      </c>
      <c r="C133" s="6" t="s">
        <v>556</v>
      </c>
      <c r="D133" s="5">
        <v>30</v>
      </c>
      <c r="E133" s="29"/>
      <c r="F133" s="25"/>
      <c r="G133" s="25">
        <f>(D133-F133)</f>
        <v>30</v>
      </c>
      <c r="H133" s="27">
        <f t="shared" ref="H133:H196" si="7">(G133*0.95)</f>
        <v>28.5</v>
      </c>
      <c r="I133" s="28">
        <f t="shared" ref="I133:I196" si="8">(G133-H133)</f>
        <v>1.5</v>
      </c>
      <c r="J133" s="25">
        <f t="shared" si="6"/>
        <v>19</v>
      </c>
      <c r="K133" s="5">
        <v>2007</v>
      </c>
      <c r="L133" s="25">
        <v>2026</v>
      </c>
      <c r="M133" s="25" t="s">
        <v>16</v>
      </c>
    </row>
    <row r="134" spans="1:13" ht="15.75" x14ac:dyDescent="0.25">
      <c r="A134" s="25">
        <v>131</v>
      </c>
      <c r="B134" s="5">
        <v>12361</v>
      </c>
      <c r="C134" s="6" t="s">
        <v>556</v>
      </c>
      <c r="D134" s="5">
        <v>30</v>
      </c>
      <c r="E134" s="29"/>
      <c r="F134" s="25"/>
      <c r="G134" s="25">
        <f>(D134-F134)</f>
        <v>30</v>
      </c>
      <c r="H134" s="27">
        <f t="shared" si="7"/>
        <v>28.5</v>
      </c>
      <c r="I134" s="28">
        <f t="shared" si="8"/>
        <v>1.5</v>
      </c>
      <c r="J134" s="25">
        <f t="shared" si="6"/>
        <v>19</v>
      </c>
      <c r="K134" s="5">
        <v>2007</v>
      </c>
      <c r="L134" s="25">
        <v>2026</v>
      </c>
      <c r="M134" s="25" t="s">
        <v>16</v>
      </c>
    </row>
    <row r="135" spans="1:13" ht="15.75" x14ac:dyDescent="0.25">
      <c r="A135" s="25">
        <v>132</v>
      </c>
      <c r="B135" s="5">
        <v>12364</v>
      </c>
      <c r="C135" s="6" t="s">
        <v>557</v>
      </c>
      <c r="D135" s="5">
        <v>30</v>
      </c>
      <c r="E135" s="29"/>
      <c r="F135" s="25"/>
      <c r="G135" s="25">
        <f>(D135-F135)</f>
        <v>30</v>
      </c>
      <c r="H135" s="27">
        <f t="shared" si="7"/>
        <v>28.5</v>
      </c>
      <c r="I135" s="28">
        <f t="shared" si="8"/>
        <v>1.5</v>
      </c>
      <c r="J135" s="25">
        <f t="shared" si="6"/>
        <v>15</v>
      </c>
      <c r="K135" s="5">
        <v>2011</v>
      </c>
      <c r="L135" s="25">
        <v>2026</v>
      </c>
      <c r="M135" s="25" t="s">
        <v>16</v>
      </c>
    </row>
    <row r="136" spans="1:13" ht="15.75" x14ac:dyDescent="0.25">
      <c r="A136" s="25">
        <v>133</v>
      </c>
      <c r="B136" s="9">
        <v>12364</v>
      </c>
      <c r="C136" s="9" t="s">
        <v>558</v>
      </c>
      <c r="D136" s="9">
        <v>30</v>
      </c>
      <c r="E136" s="29"/>
      <c r="F136" s="25"/>
      <c r="G136" s="25">
        <f>(D136-F136)</f>
        <v>30</v>
      </c>
      <c r="H136" s="27">
        <f t="shared" si="7"/>
        <v>28.5</v>
      </c>
      <c r="I136" s="28">
        <f t="shared" si="8"/>
        <v>1.5</v>
      </c>
      <c r="J136" s="25">
        <f t="shared" si="6"/>
        <v>19</v>
      </c>
      <c r="K136" s="9">
        <v>2007</v>
      </c>
      <c r="L136" s="25">
        <v>2026</v>
      </c>
      <c r="M136" s="25" t="s">
        <v>16</v>
      </c>
    </row>
    <row r="137" spans="1:13" ht="15.75" x14ac:dyDescent="0.25">
      <c r="A137" s="25">
        <v>134</v>
      </c>
      <c r="B137" s="5">
        <v>12365</v>
      </c>
      <c r="C137" s="6" t="s">
        <v>559</v>
      </c>
      <c r="D137" s="5">
        <v>30</v>
      </c>
      <c r="E137" s="29"/>
      <c r="F137" s="25"/>
      <c r="G137" s="25">
        <f>(D137-F137)</f>
        <v>30</v>
      </c>
      <c r="H137" s="27">
        <f t="shared" si="7"/>
        <v>28.5</v>
      </c>
      <c r="I137" s="28">
        <f t="shared" si="8"/>
        <v>1.5</v>
      </c>
      <c r="J137" s="25">
        <f t="shared" si="6"/>
        <v>19</v>
      </c>
      <c r="K137" s="5">
        <v>2007</v>
      </c>
      <c r="L137" s="25">
        <v>2026</v>
      </c>
      <c r="M137" s="25" t="s">
        <v>16</v>
      </c>
    </row>
    <row r="138" spans="1:13" ht="15.75" x14ac:dyDescent="0.25">
      <c r="A138" s="25">
        <v>135</v>
      </c>
      <c r="B138" s="5">
        <v>12366</v>
      </c>
      <c r="C138" s="6" t="s">
        <v>559</v>
      </c>
      <c r="D138" s="5">
        <v>30</v>
      </c>
      <c r="E138" s="29"/>
      <c r="F138" s="25"/>
      <c r="G138" s="25">
        <f>(D138-F138)</f>
        <v>30</v>
      </c>
      <c r="H138" s="27">
        <f t="shared" si="7"/>
        <v>28.5</v>
      </c>
      <c r="I138" s="28">
        <f t="shared" si="8"/>
        <v>1.5</v>
      </c>
      <c r="J138" s="25">
        <f t="shared" si="6"/>
        <v>19</v>
      </c>
      <c r="K138" s="5">
        <v>2007</v>
      </c>
      <c r="L138" s="25">
        <v>2026</v>
      </c>
      <c r="M138" s="25" t="s">
        <v>16</v>
      </c>
    </row>
    <row r="139" spans="1:13" ht="15.75" x14ac:dyDescent="0.25">
      <c r="A139" s="25">
        <v>136</v>
      </c>
      <c r="B139" s="5">
        <v>12367</v>
      </c>
      <c r="C139" s="6" t="s">
        <v>560</v>
      </c>
      <c r="D139" s="5">
        <v>30</v>
      </c>
      <c r="E139" s="29"/>
      <c r="F139" s="25"/>
      <c r="G139" s="25">
        <f>(D139-F139)</f>
        <v>30</v>
      </c>
      <c r="H139" s="27">
        <f t="shared" si="7"/>
        <v>28.5</v>
      </c>
      <c r="I139" s="28">
        <f t="shared" si="8"/>
        <v>1.5</v>
      </c>
      <c r="J139" s="25">
        <f t="shared" si="6"/>
        <v>19</v>
      </c>
      <c r="K139" s="5">
        <v>2007</v>
      </c>
      <c r="L139" s="25">
        <v>2026</v>
      </c>
      <c r="M139" s="25" t="s">
        <v>16</v>
      </c>
    </row>
    <row r="140" spans="1:13" ht="15.75" x14ac:dyDescent="0.25">
      <c r="A140" s="25">
        <v>137</v>
      </c>
      <c r="B140" s="5">
        <v>12368</v>
      </c>
      <c r="C140" s="6" t="s">
        <v>560</v>
      </c>
      <c r="D140" s="5">
        <v>30</v>
      </c>
      <c r="E140" s="29"/>
      <c r="F140" s="25"/>
      <c r="G140" s="25">
        <f>(D140-F140)</f>
        <v>30</v>
      </c>
      <c r="H140" s="27">
        <f t="shared" si="7"/>
        <v>28.5</v>
      </c>
      <c r="I140" s="28">
        <f t="shared" si="8"/>
        <v>1.5</v>
      </c>
      <c r="J140" s="25">
        <f t="shared" si="6"/>
        <v>19</v>
      </c>
      <c r="K140" s="5">
        <v>2007</v>
      </c>
      <c r="L140" s="25">
        <v>2026</v>
      </c>
      <c r="M140" s="25" t="s">
        <v>16</v>
      </c>
    </row>
    <row r="141" spans="1:13" ht="15.75" x14ac:dyDescent="0.25">
      <c r="A141" s="25">
        <v>138</v>
      </c>
      <c r="B141" s="9">
        <v>12374</v>
      </c>
      <c r="C141" s="9" t="s">
        <v>561</v>
      </c>
      <c r="D141" s="9">
        <v>30</v>
      </c>
      <c r="E141" s="29"/>
      <c r="F141" s="25"/>
      <c r="G141" s="25">
        <f>(D141-F141)</f>
        <v>30</v>
      </c>
      <c r="H141" s="27">
        <f t="shared" si="7"/>
        <v>28.5</v>
      </c>
      <c r="I141" s="28">
        <f t="shared" si="8"/>
        <v>1.5</v>
      </c>
      <c r="J141" s="25">
        <f t="shared" si="6"/>
        <v>19</v>
      </c>
      <c r="K141" s="9">
        <v>2007</v>
      </c>
      <c r="L141" s="25">
        <v>2026</v>
      </c>
      <c r="M141" s="25" t="s">
        <v>16</v>
      </c>
    </row>
    <row r="142" spans="1:13" ht="15.75" x14ac:dyDescent="0.25">
      <c r="A142" s="25">
        <v>139</v>
      </c>
      <c r="B142" s="5">
        <v>12376</v>
      </c>
      <c r="C142" s="6" t="s">
        <v>562</v>
      </c>
      <c r="D142" s="6">
        <v>30</v>
      </c>
      <c r="E142" s="29"/>
      <c r="F142" s="25"/>
      <c r="G142" s="25">
        <f>(D142-F142)</f>
        <v>30</v>
      </c>
      <c r="H142" s="27">
        <f t="shared" si="7"/>
        <v>28.5</v>
      </c>
      <c r="I142" s="28">
        <f t="shared" si="8"/>
        <v>1.5</v>
      </c>
      <c r="J142" s="25">
        <f t="shared" si="6"/>
        <v>19</v>
      </c>
      <c r="K142" s="6">
        <v>2007</v>
      </c>
      <c r="L142" s="25">
        <v>2026</v>
      </c>
      <c r="M142" s="25" t="s">
        <v>16</v>
      </c>
    </row>
    <row r="143" spans="1:13" ht="15.75" x14ac:dyDescent="0.25">
      <c r="A143" s="25">
        <v>140</v>
      </c>
      <c r="B143" s="5">
        <v>12380</v>
      </c>
      <c r="C143" s="6" t="s">
        <v>563</v>
      </c>
      <c r="D143" s="6">
        <v>50</v>
      </c>
      <c r="E143" s="29"/>
      <c r="F143" s="25"/>
      <c r="G143" s="25">
        <f>(D143-F143)</f>
        <v>50</v>
      </c>
      <c r="H143" s="27">
        <f t="shared" si="7"/>
        <v>47.5</v>
      </c>
      <c r="I143" s="28">
        <f t="shared" si="8"/>
        <v>2.5</v>
      </c>
      <c r="J143" s="25">
        <f t="shared" si="6"/>
        <v>19</v>
      </c>
      <c r="K143" s="6">
        <v>2007</v>
      </c>
      <c r="L143" s="25">
        <v>2026</v>
      </c>
      <c r="M143" s="25" t="s">
        <v>16</v>
      </c>
    </row>
    <row r="144" spans="1:13" ht="15.75" x14ac:dyDescent="0.25">
      <c r="A144" s="25">
        <v>141</v>
      </c>
      <c r="B144" s="5">
        <v>12395</v>
      </c>
      <c r="C144" s="6" t="s">
        <v>564</v>
      </c>
      <c r="D144" s="6">
        <v>40</v>
      </c>
      <c r="E144" s="29"/>
      <c r="F144" s="25"/>
      <c r="G144" s="25">
        <f>(D144-F144)</f>
        <v>40</v>
      </c>
      <c r="H144" s="27">
        <f t="shared" si="7"/>
        <v>38</v>
      </c>
      <c r="I144" s="28">
        <f t="shared" si="8"/>
        <v>2</v>
      </c>
      <c r="J144" s="25">
        <f t="shared" si="6"/>
        <v>19</v>
      </c>
      <c r="K144" s="6">
        <v>2007</v>
      </c>
      <c r="L144" s="25">
        <v>2026</v>
      </c>
      <c r="M144" s="25" t="s">
        <v>16</v>
      </c>
    </row>
    <row r="145" spans="1:13" ht="15.75" x14ac:dyDescent="0.25">
      <c r="A145" s="25">
        <v>142</v>
      </c>
      <c r="B145" s="5">
        <v>12410</v>
      </c>
      <c r="C145" s="6" t="s">
        <v>565</v>
      </c>
      <c r="D145" s="5">
        <v>400</v>
      </c>
      <c r="E145" s="29"/>
      <c r="F145" s="25"/>
      <c r="G145" s="25">
        <f>(D145-F145)</f>
        <v>400</v>
      </c>
      <c r="H145" s="27">
        <f t="shared" si="7"/>
        <v>380</v>
      </c>
      <c r="I145" s="28">
        <f t="shared" si="8"/>
        <v>20</v>
      </c>
      <c r="J145" s="25">
        <f t="shared" si="6"/>
        <v>19</v>
      </c>
      <c r="K145" s="6">
        <v>2007</v>
      </c>
      <c r="L145" s="25">
        <v>2026</v>
      </c>
      <c r="M145" s="25" t="s">
        <v>16</v>
      </c>
    </row>
    <row r="146" spans="1:13" ht="15.75" x14ac:dyDescent="0.25">
      <c r="A146" s="25">
        <v>143</v>
      </c>
      <c r="B146" s="6">
        <v>12433</v>
      </c>
      <c r="C146" s="9" t="s">
        <v>566</v>
      </c>
      <c r="D146" s="9">
        <v>100</v>
      </c>
      <c r="E146" s="29"/>
      <c r="F146" s="25"/>
      <c r="G146" s="25">
        <f>(D146-F146)</f>
        <v>100</v>
      </c>
      <c r="H146" s="27">
        <f t="shared" si="7"/>
        <v>95</v>
      </c>
      <c r="I146" s="28">
        <f t="shared" si="8"/>
        <v>5</v>
      </c>
      <c r="J146" s="25">
        <f t="shared" si="6"/>
        <v>19</v>
      </c>
      <c r="K146" s="9">
        <v>2007</v>
      </c>
      <c r="L146" s="25">
        <v>2026</v>
      </c>
      <c r="M146" s="25" t="s">
        <v>16</v>
      </c>
    </row>
    <row r="147" spans="1:13" ht="15.75" x14ac:dyDescent="0.25">
      <c r="A147" s="25">
        <v>144</v>
      </c>
      <c r="B147" s="5">
        <v>12451</v>
      </c>
      <c r="C147" s="6" t="s">
        <v>567</v>
      </c>
      <c r="D147" s="6">
        <v>378</v>
      </c>
      <c r="E147" s="29"/>
      <c r="F147" s="25"/>
      <c r="G147" s="25">
        <f>(D147-F147)</f>
        <v>378</v>
      </c>
      <c r="H147" s="27">
        <f t="shared" si="7"/>
        <v>359.09999999999997</v>
      </c>
      <c r="I147" s="28">
        <f t="shared" si="8"/>
        <v>18.900000000000034</v>
      </c>
      <c r="J147" s="25">
        <f t="shared" si="6"/>
        <v>19</v>
      </c>
      <c r="K147" s="6">
        <v>2007</v>
      </c>
      <c r="L147" s="25">
        <v>2026</v>
      </c>
      <c r="M147" s="25" t="s">
        <v>16</v>
      </c>
    </row>
    <row r="148" spans="1:13" ht="15.75" x14ac:dyDescent="0.25">
      <c r="A148" s="25">
        <v>145</v>
      </c>
      <c r="B148" s="5">
        <v>12454</v>
      </c>
      <c r="C148" s="6" t="s">
        <v>529</v>
      </c>
      <c r="D148" s="6">
        <v>645</v>
      </c>
      <c r="E148" s="29"/>
      <c r="F148" s="25"/>
      <c r="G148" s="25">
        <f>(D148-F148)</f>
        <v>645</v>
      </c>
      <c r="H148" s="27">
        <f t="shared" si="7"/>
        <v>612.75</v>
      </c>
      <c r="I148" s="28">
        <f t="shared" si="8"/>
        <v>32.25</v>
      </c>
      <c r="J148" s="25">
        <f t="shared" si="6"/>
        <v>19</v>
      </c>
      <c r="K148" s="6">
        <v>2007</v>
      </c>
      <c r="L148" s="25">
        <v>2026</v>
      </c>
      <c r="M148" s="25" t="s">
        <v>16</v>
      </c>
    </row>
    <row r="149" spans="1:13" ht="15.75" x14ac:dyDescent="0.25">
      <c r="A149" s="25">
        <v>146</v>
      </c>
      <c r="B149" s="5">
        <v>12475</v>
      </c>
      <c r="C149" s="6" t="s">
        <v>568</v>
      </c>
      <c r="D149" s="6">
        <v>60</v>
      </c>
      <c r="E149" s="29"/>
      <c r="F149" s="25"/>
      <c r="G149" s="25">
        <f>(D149-F149)</f>
        <v>60</v>
      </c>
      <c r="H149" s="27">
        <f t="shared" si="7"/>
        <v>57</v>
      </c>
      <c r="I149" s="28">
        <f t="shared" si="8"/>
        <v>3</v>
      </c>
      <c r="J149" s="25">
        <f t="shared" si="6"/>
        <v>19</v>
      </c>
      <c r="K149" s="6">
        <v>2007</v>
      </c>
      <c r="L149" s="25">
        <v>2026</v>
      </c>
      <c r="M149" s="25" t="s">
        <v>16</v>
      </c>
    </row>
    <row r="150" spans="1:13" ht="15.75" x14ac:dyDescent="0.25">
      <c r="A150" s="25">
        <v>147</v>
      </c>
      <c r="B150" s="9">
        <v>12476</v>
      </c>
      <c r="C150" s="9" t="s">
        <v>569</v>
      </c>
      <c r="D150" s="9">
        <v>44</v>
      </c>
      <c r="E150" s="29"/>
      <c r="F150" s="25"/>
      <c r="G150" s="25">
        <f>(D150-F150)</f>
        <v>44</v>
      </c>
      <c r="H150" s="27">
        <f t="shared" si="7"/>
        <v>41.8</v>
      </c>
      <c r="I150" s="28">
        <f t="shared" si="8"/>
        <v>2.2000000000000028</v>
      </c>
      <c r="J150" s="25">
        <f t="shared" si="6"/>
        <v>19</v>
      </c>
      <c r="K150" s="6">
        <v>2007</v>
      </c>
      <c r="L150" s="25">
        <v>2026</v>
      </c>
      <c r="M150" s="25" t="s">
        <v>16</v>
      </c>
    </row>
    <row r="151" spans="1:13" ht="15.75" x14ac:dyDescent="0.25">
      <c r="A151" s="25">
        <v>148</v>
      </c>
      <c r="B151" s="9">
        <v>12477</v>
      </c>
      <c r="C151" s="9" t="s">
        <v>570</v>
      </c>
      <c r="D151" s="9">
        <v>350</v>
      </c>
      <c r="E151" s="29"/>
      <c r="F151" s="25"/>
      <c r="G151" s="25">
        <f>(D151-F151)</f>
        <v>350</v>
      </c>
      <c r="H151" s="27">
        <f t="shared" si="7"/>
        <v>332.5</v>
      </c>
      <c r="I151" s="28">
        <f t="shared" si="8"/>
        <v>17.5</v>
      </c>
      <c r="J151" s="25">
        <f t="shared" si="6"/>
        <v>19</v>
      </c>
      <c r="K151" s="6">
        <v>2007</v>
      </c>
      <c r="L151" s="25">
        <v>2026</v>
      </c>
      <c r="M151" s="25" t="s">
        <v>16</v>
      </c>
    </row>
    <row r="152" spans="1:13" ht="15.75" x14ac:dyDescent="0.25">
      <c r="A152" s="25">
        <v>149</v>
      </c>
      <c r="B152" s="9">
        <v>12478</v>
      </c>
      <c r="C152" s="9" t="s">
        <v>571</v>
      </c>
      <c r="D152" s="9">
        <v>60</v>
      </c>
      <c r="E152" s="29"/>
      <c r="F152" s="25"/>
      <c r="G152" s="25">
        <f>(D152-F152)</f>
        <v>60</v>
      </c>
      <c r="H152" s="27">
        <f t="shared" si="7"/>
        <v>57</v>
      </c>
      <c r="I152" s="28">
        <f t="shared" si="8"/>
        <v>3</v>
      </c>
      <c r="J152" s="25">
        <f t="shared" si="6"/>
        <v>19</v>
      </c>
      <c r="K152" s="6">
        <v>2007</v>
      </c>
      <c r="L152" s="25">
        <v>2026</v>
      </c>
      <c r="M152" s="25" t="s">
        <v>16</v>
      </c>
    </row>
    <row r="153" spans="1:13" ht="15.75" x14ac:dyDescent="0.25">
      <c r="A153" s="25">
        <v>150</v>
      </c>
      <c r="B153" s="5">
        <v>12485</v>
      </c>
      <c r="C153" s="6" t="s">
        <v>572</v>
      </c>
      <c r="D153" s="6">
        <v>200</v>
      </c>
      <c r="E153" s="29"/>
      <c r="F153" s="25"/>
      <c r="G153" s="25">
        <f>(D153-F153)</f>
        <v>200</v>
      </c>
      <c r="H153" s="27">
        <f t="shared" si="7"/>
        <v>190</v>
      </c>
      <c r="I153" s="28">
        <f t="shared" si="8"/>
        <v>10</v>
      </c>
      <c r="J153" s="25">
        <f t="shared" si="6"/>
        <v>19</v>
      </c>
      <c r="K153" s="6">
        <v>2007</v>
      </c>
      <c r="L153" s="25">
        <v>2026</v>
      </c>
      <c r="M153" s="25" t="s">
        <v>16</v>
      </c>
    </row>
    <row r="154" spans="1:13" ht="15.75" x14ac:dyDescent="0.25">
      <c r="A154" s="25">
        <v>151</v>
      </c>
      <c r="B154" s="5">
        <v>12486</v>
      </c>
      <c r="C154" s="6" t="s">
        <v>572</v>
      </c>
      <c r="D154" s="6">
        <v>200</v>
      </c>
      <c r="E154" s="29"/>
      <c r="F154" s="25"/>
      <c r="G154" s="25">
        <f>(D154-F154)</f>
        <v>200</v>
      </c>
      <c r="H154" s="27">
        <f t="shared" si="7"/>
        <v>190</v>
      </c>
      <c r="I154" s="28">
        <f t="shared" si="8"/>
        <v>10</v>
      </c>
      <c r="J154" s="25">
        <f t="shared" si="6"/>
        <v>19</v>
      </c>
      <c r="K154" s="6">
        <v>2007</v>
      </c>
      <c r="L154" s="25">
        <v>2026</v>
      </c>
      <c r="M154" s="25" t="s">
        <v>16</v>
      </c>
    </row>
    <row r="155" spans="1:13" ht="15.75" x14ac:dyDescent="0.25">
      <c r="A155" s="25">
        <v>152</v>
      </c>
      <c r="B155" s="5">
        <v>12487</v>
      </c>
      <c r="C155" s="6" t="s">
        <v>572</v>
      </c>
      <c r="D155" s="6">
        <v>200</v>
      </c>
      <c r="E155" s="29"/>
      <c r="F155" s="25"/>
      <c r="G155" s="25">
        <f>(D155-F155)</f>
        <v>200</v>
      </c>
      <c r="H155" s="27">
        <f t="shared" si="7"/>
        <v>190</v>
      </c>
      <c r="I155" s="28">
        <f t="shared" si="8"/>
        <v>10</v>
      </c>
      <c r="J155" s="25">
        <f t="shared" si="6"/>
        <v>19</v>
      </c>
      <c r="K155" s="6">
        <v>2007</v>
      </c>
      <c r="L155" s="25">
        <v>2026</v>
      </c>
      <c r="M155" s="25" t="s">
        <v>16</v>
      </c>
    </row>
    <row r="156" spans="1:13" ht="15.75" x14ac:dyDescent="0.25">
      <c r="A156" s="25">
        <v>153</v>
      </c>
      <c r="B156" s="9">
        <v>12506</v>
      </c>
      <c r="C156" s="9" t="s">
        <v>573</v>
      </c>
      <c r="D156" s="9">
        <v>152</v>
      </c>
      <c r="E156" s="29"/>
      <c r="F156" s="25"/>
      <c r="G156" s="25">
        <f>(D156-F156)</f>
        <v>152</v>
      </c>
      <c r="H156" s="27">
        <f t="shared" si="7"/>
        <v>144.4</v>
      </c>
      <c r="I156" s="28">
        <f t="shared" si="8"/>
        <v>7.5999999999999943</v>
      </c>
      <c r="J156" s="25">
        <f t="shared" si="6"/>
        <v>19</v>
      </c>
      <c r="K156" s="9">
        <v>2007</v>
      </c>
      <c r="L156" s="25">
        <v>2026</v>
      </c>
      <c r="M156" s="25" t="s">
        <v>16</v>
      </c>
    </row>
    <row r="157" spans="1:13" ht="15.75" x14ac:dyDescent="0.25">
      <c r="A157" s="25">
        <v>154</v>
      </c>
      <c r="B157" s="9">
        <v>12533</v>
      </c>
      <c r="C157" s="9" t="s">
        <v>574</v>
      </c>
      <c r="D157" s="9">
        <v>30</v>
      </c>
      <c r="E157" s="29"/>
      <c r="F157" s="25"/>
      <c r="G157" s="25">
        <f>(D157-F157)</f>
        <v>30</v>
      </c>
      <c r="H157" s="27">
        <f t="shared" si="7"/>
        <v>28.5</v>
      </c>
      <c r="I157" s="28">
        <f t="shared" si="8"/>
        <v>1.5</v>
      </c>
      <c r="J157" s="25">
        <f t="shared" si="6"/>
        <v>19</v>
      </c>
      <c r="K157" s="9">
        <v>2007</v>
      </c>
      <c r="L157" s="25">
        <v>2026</v>
      </c>
      <c r="M157" s="25" t="s">
        <v>16</v>
      </c>
    </row>
    <row r="158" spans="1:13" ht="15.75" x14ac:dyDescent="0.25">
      <c r="A158" s="25">
        <v>155</v>
      </c>
      <c r="B158" s="9">
        <v>12534</v>
      </c>
      <c r="C158" s="9" t="s">
        <v>574</v>
      </c>
      <c r="D158" s="9">
        <v>30</v>
      </c>
      <c r="E158" s="29"/>
      <c r="F158" s="25"/>
      <c r="G158" s="25">
        <f>(D158-F158)</f>
        <v>30</v>
      </c>
      <c r="H158" s="27">
        <f t="shared" si="7"/>
        <v>28.5</v>
      </c>
      <c r="I158" s="28">
        <f t="shared" si="8"/>
        <v>1.5</v>
      </c>
      <c r="J158" s="25">
        <f t="shared" si="6"/>
        <v>19</v>
      </c>
      <c r="K158" s="9">
        <v>2007</v>
      </c>
      <c r="L158" s="25">
        <v>2026</v>
      </c>
      <c r="M158" s="25" t="s">
        <v>16</v>
      </c>
    </row>
    <row r="159" spans="1:13" ht="15.75" x14ac:dyDescent="0.25">
      <c r="A159" s="25">
        <v>156</v>
      </c>
      <c r="B159" s="9">
        <v>12536</v>
      </c>
      <c r="C159" s="9" t="s">
        <v>575</v>
      </c>
      <c r="D159" s="9">
        <v>30</v>
      </c>
      <c r="E159" s="29"/>
      <c r="F159" s="25"/>
      <c r="G159" s="25">
        <f>(D159-F159)</f>
        <v>30</v>
      </c>
      <c r="H159" s="27">
        <f t="shared" si="7"/>
        <v>28.5</v>
      </c>
      <c r="I159" s="28">
        <f t="shared" si="8"/>
        <v>1.5</v>
      </c>
      <c r="J159" s="25">
        <f t="shared" si="6"/>
        <v>19</v>
      </c>
      <c r="K159" s="9">
        <v>2007</v>
      </c>
      <c r="L159" s="25">
        <v>2026</v>
      </c>
      <c r="M159" s="25" t="s">
        <v>16</v>
      </c>
    </row>
    <row r="160" spans="1:13" ht="15.75" x14ac:dyDescent="0.25">
      <c r="A160" s="25">
        <v>157</v>
      </c>
      <c r="B160" s="9">
        <v>12537</v>
      </c>
      <c r="C160" s="9" t="s">
        <v>575</v>
      </c>
      <c r="D160" s="9">
        <v>30</v>
      </c>
      <c r="E160" s="29"/>
      <c r="F160" s="25"/>
      <c r="G160" s="25">
        <f>(D160-F160)</f>
        <v>30</v>
      </c>
      <c r="H160" s="27">
        <f t="shared" si="7"/>
        <v>28.5</v>
      </c>
      <c r="I160" s="28">
        <f t="shared" si="8"/>
        <v>1.5</v>
      </c>
      <c r="J160" s="25">
        <f t="shared" si="6"/>
        <v>19</v>
      </c>
      <c r="K160" s="9">
        <v>2007</v>
      </c>
      <c r="L160" s="25">
        <v>2026</v>
      </c>
      <c r="M160" s="25" t="s">
        <v>16</v>
      </c>
    </row>
    <row r="161" spans="1:13" ht="15.75" x14ac:dyDescent="0.25">
      <c r="A161" s="25">
        <v>158</v>
      </c>
      <c r="B161" s="5">
        <v>12541</v>
      </c>
      <c r="C161" s="6" t="s">
        <v>576</v>
      </c>
      <c r="D161" s="5">
        <v>30</v>
      </c>
      <c r="E161" s="29"/>
      <c r="F161" s="25"/>
      <c r="G161" s="25">
        <f>(D161-F161)</f>
        <v>30</v>
      </c>
      <c r="H161" s="27">
        <f t="shared" si="7"/>
        <v>28.5</v>
      </c>
      <c r="I161" s="28">
        <f t="shared" si="8"/>
        <v>1.5</v>
      </c>
      <c r="J161" s="25">
        <f t="shared" si="6"/>
        <v>19</v>
      </c>
      <c r="K161" s="5">
        <v>2007</v>
      </c>
      <c r="L161" s="25">
        <v>2026</v>
      </c>
      <c r="M161" s="25" t="s">
        <v>16</v>
      </c>
    </row>
    <row r="162" spans="1:13" ht="15.75" x14ac:dyDescent="0.25">
      <c r="A162" s="25">
        <v>159</v>
      </c>
      <c r="B162" s="9">
        <v>12543</v>
      </c>
      <c r="C162" s="9" t="s">
        <v>577</v>
      </c>
      <c r="D162" s="9">
        <v>30</v>
      </c>
      <c r="E162" s="29"/>
      <c r="F162" s="25"/>
      <c r="G162" s="25">
        <f>(D162-F162)</f>
        <v>30</v>
      </c>
      <c r="H162" s="27">
        <f t="shared" si="7"/>
        <v>28.5</v>
      </c>
      <c r="I162" s="28">
        <f t="shared" si="8"/>
        <v>1.5</v>
      </c>
      <c r="J162" s="25">
        <f t="shared" si="6"/>
        <v>19</v>
      </c>
      <c r="K162" s="9">
        <v>2007</v>
      </c>
      <c r="L162" s="25">
        <v>2026</v>
      </c>
      <c r="M162" s="25" t="s">
        <v>16</v>
      </c>
    </row>
    <row r="163" spans="1:13" ht="15.75" x14ac:dyDescent="0.25">
      <c r="A163" s="25">
        <v>160</v>
      </c>
      <c r="B163" s="5">
        <v>12544</v>
      </c>
      <c r="C163" s="6" t="s">
        <v>576</v>
      </c>
      <c r="D163" s="5">
        <v>30</v>
      </c>
      <c r="E163" s="29"/>
      <c r="F163" s="25"/>
      <c r="G163" s="25">
        <f>(D163-F163)</f>
        <v>30</v>
      </c>
      <c r="H163" s="27">
        <f t="shared" si="7"/>
        <v>28.5</v>
      </c>
      <c r="I163" s="28">
        <f t="shared" si="8"/>
        <v>1.5</v>
      </c>
      <c r="J163" s="25">
        <f t="shared" si="6"/>
        <v>19</v>
      </c>
      <c r="K163" s="5">
        <v>2007</v>
      </c>
      <c r="L163" s="25">
        <v>2026</v>
      </c>
      <c r="M163" s="25" t="s">
        <v>16</v>
      </c>
    </row>
    <row r="164" spans="1:13" ht="15.75" x14ac:dyDescent="0.25">
      <c r="A164" s="25">
        <v>161</v>
      </c>
      <c r="B164" s="5">
        <v>12556</v>
      </c>
      <c r="C164" s="6" t="s">
        <v>578</v>
      </c>
      <c r="D164" s="6">
        <v>90</v>
      </c>
      <c r="E164" s="29"/>
      <c r="F164" s="25"/>
      <c r="G164" s="25">
        <f>(D164-F164)</f>
        <v>90</v>
      </c>
      <c r="H164" s="27">
        <f t="shared" si="7"/>
        <v>85.5</v>
      </c>
      <c r="I164" s="28">
        <f t="shared" si="8"/>
        <v>4.5</v>
      </c>
      <c r="J164" s="25">
        <f t="shared" si="6"/>
        <v>19</v>
      </c>
      <c r="K164" s="6">
        <v>2007</v>
      </c>
      <c r="L164" s="25">
        <v>2026</v>
      </c>
      <c r="M164" s="25" t="s">
        <v>16</v>
      </c>
    </row>
    <row r="165" spans="1:13" ht="15.75" x14ac:dyDescent="0.25">
      <c r="A165" s="25">
        <v>162</v>
      </c>
      <c r="B165" s="9">
        <v>12597</v>
      </c>
      <c r="C165" s="9" t="s">
        <v>579</v>
      </c>
      <c r="D165" s="9">
        <v>40</v>
      </c>
      <c r="E165" s="29"/>
      <c r="F165" s="25"/>
      <c r="G165" s="25">
        <f>(D165-F165)</f>
        <v>40</v>
      </c>
      <c r="H165" s="27">
        <f t="shared" si="7"/>
        <v>38</v>
      </c>
      <c r="I165" s="28">
        <f t="shared" si="8"/>
        <v>2</v>
      </c>
      <c r="J165" s="25">
        <f t="shared" si="6"/>
        <v>19</v>
      </c>
      <c r="K165" s="9">
        <v>2007</v>
      </c>
      <c r="L165" s="25">
        <v>2026</v>
      </c>
      <c r="M165" s="25" t="s">
        <v>16</v>
      </c>
    </row>
    <row r="166" spans="1:13" ht="15.75" x14ac:dyDescent="0.25">
      <c r="A166" s="25">
        <v>163</v>
      </c>
      <c r="B166" s="9">
        <v>12598</v>
      </c>
      <c r="C166" s="9" t="s">
        <v>580</v>
      </c>
      <c r="D166" s="9">
        <v>40</v>
      </c>
      <c r="E166" s="29"/>
      <c r="F166" s="25"/>
      <c r="G166" s="25">
        <f>(D166-F166)</f>
        <v>40</v>
      </c>
      <c r="H166" s="27">
        <f t="shared" si="7"/>
        <v>38</v>
      </c>
      <c r="I166" s="28">
        <f t="shared" si="8"/>
        <v>2</v>
      </c>
      <c r="J166" s="25">
        <f t="shared" si="6"/>
        <v>19</v>
      </c>
      <c r="K166" s="9">
        <v>2007</v>
      </c>
      <c r="L166" s="25">
        <v>2026</v>
      </c>
      <c r="M166" s="25" t="s">
        <v>16</v>
      </c>
    </row>
    <row r="167" spans="1:13" ht="15.75" x14ac:dyDescent="0.25">
      <c r="A167" s="25">
        <v>164</v>
      </c>
      <c r="B167" s="9">
        <v>12599</v>
      </c>
      <c r="C167" s="9" t="s">
        <v>580</v>
      </c>
      <c r="D167" s="9">
        <v>40</v>
      </c>
      <c r="E167" s="29"/>
      <c r="F167" s="25"/>
      <c r="G167" s="25">
        <f>(D167-F167)</f>
        <v>40</v>
      </c>
      <c r="H167" s="27">
        <f t="shared" si="7"/>
        <v>38</v>
      </c>
      <c r="I167" s="28">
        <f t="shared" si="8"/>
        <v>2</v>
      </c>
      <c r="J167" s="25">
        <f t="shared" si="6"/>
        <v>19</v>
      </c>
      <c r="K167" s="9">
        <v>2007</v>
      </c>
      <c r="L167" s="25">
        <v>2026</v>
      </c>
      <c r="M167" s="25" t="s">
        <v>16</v>
      </c>
    </row>
    <row r="168" spans="1:13" ht="15.75" x14ac:dyDescent="0.25">
      <c r="A168" s="25">
        <v>165</v>
      </c>
      <c r="B168" s="9">
        <v>12600</v>
      </c>
      <c r="C168" s="9" t="s">
        <v>581</v>
      </c>
      <c r="D168" s="9">
        <v>40</v>
      </c>
      <c r="E168" s="29"/>
      <c r="F168" s="25"/>
      <c r="G168" s="25">
        <f>(D168-F168)</f>
        <v>40</v>
      </c>
      <c r="H168" s="27">
        <f t="shared" si="7"/>
        <v>38</v>
      </c>
      <c r="I168" s="28">
        <f t="shared" si="8"/>
        <v>2</v>
      </c>
      <c r="J168" s="25">
        <f t="shared" si="6"/>
        <v>19</v>
      </c>
      <c r="K168" s="9">
        <v>2007</v>
      </c>
      <c r="L168" s="25">
        <v>2026</v>
      </c>
      <c r="M168" s="25" t="s">
        <v>16</v>
      </c>
    </row>
    <row r="169" spans="1:13" ht="15.75" x14ac:dyDescent="0.25">
      <c r="A169" s="25">
        <v>166</v>
      </c>
      <c r="B169" s="5">
        <v>12601</v>
      </c>
      <c r="C169" s="6" t="s">
        <v>582</v>
      </c>
      <c r="D169" s="6">
        <v>36</v>
      </c>
      <c r="E169" s="29"/>
      <c r="F169" s="25"/>
      <c r="G169" s="25">
        <f>(D169-F169)</f>
        <v>36</v>
      </c>
      <c r="H169" s="27">
        <f t="shared" si="7"/>
        <v>34.199999999999996</v>
      </c>
      <c r="I169" s="28">
        <f t="shared" si="8"/>
        <v>1.8000000000000043</v>
      </c>
      <c r="J169" s="25">
        <f t="shared" si="6"/>
        <v>19</v>
      </c>
      <c r="K169" s="9">
        <v>2007</v>
      </c>
      <c r="L169" s="25">
        <v>2026</v>
      </c>
      <c r="M169" s="25" t="s">
        <v>16</v>
      </c>
    </row>
    <row r="170" spans="1:13" ht="15.75" x14ac:dyDescent="0.25">
      <c r="A170" s="25">
        <v>167</v>
      </c>
      <c r="B170" s="5">
        <v>12602</v>
      </c>
      <c r="C170" s="6" t="s">
        <v>582</v>
      </c>
      <c r="D170" s="6">
        <v>36</v>
      </c>
      <c r="E170" s="29"/>
      <c r="F170" s="25"/>
      <c r="G170" s="25">
        <f>(D170-F170)</f>
        <v>36</v>
      </c>
      <c r="H170" s="27">
        <f t="shared" si="7"/>
        <v>34.199999999999996</v>
      </c>
      <c r="I170" s="28">
        <f t="shared" si="8"/>
        <v>1.8000000000000043</v>
      </c>
      <c r="J170" s="25">
        <f t="shared" si="6"/>
        <v>19</v>
      </c>
      <c r="K170" s="9">
        <v>2007</v>
      </c>
      <c r="L170" s="25">
        <v>2026</v>
      </c>
      <c r="M170" s="25" t="s">
        <v>16</v>
      </c>
    </row>
    <row r="171" spans="1:13" ht="15.75" x14ac:dyDescent="0.25">
      <c r="A171" s="25">
        <v>168</v>
      </c>
      <c r="B171" s="5">
        <v>12603</v>
      </c>
      <c r="C171" s="6" t="s">
        <v>582</v>
      </c>
      <c r="D171" s="6">
        <v>36</v>
      </c>
      <c r="E171" s="29"/>
      <c r="F171" s="25"/>
      <c r="G171" s="25">
        <f>(D171-F171)</f>
        <v>36</v>
      </c>
      <c r="H171" s="27">
        <f t="shared" si="7"/>
        <v>34.199999999999996</v>
      </c>
      <c r="I171" s="28">
        <f t="shared" si="8"/>
        <v>1.8000000000000043</v>
      </c>
      <c r="J171" s="25">
        <f t="shared" si="6"/>
        <v>19</v>
      </c>
      <c r="K171" s="9">
        <v>2007</v>
      </c>
      <c r="L171" s="25">
        <v>2026</v>
      </c>
      <c r="M171" s="25" t="s">
        <v>16</v>
      </c>
    </row>
    <row r="172" spans="1:13" ht="15.75" x14ac:dyDescent="0.25">
      <c r="A172" s="25">
        <v>169</v>
      </c>
      <c r="B172" s="5">
        <v>12604</v>
      </c>
      <c r="C172" s="6" t="s">
        <v>583</v>
      </c>
      <c r="D172" s="5">
        <v>36</v>
      </c>
      <c r="E172" s="29"/>
      <c r="F172" s="25"/>
      <c r="G172" s="25">
        <f>(D172-F172)</f>
        <v>36</v>
      </c>
      <c r="H172" s="27">
        <f t="shared" si="7"/>
        <v>34.199999999999996</v>
      </c>
      <c r="I172" s="28">
        <f t="shared" si="8"/>
        <v>1.8000000000000043</v>
      </c>
      <c r="J172" s="25">
        <f t="shared" si="6"/>
        <v>19</v>
      </c>
      <c r="K172" s="9">
        <v>2007</v>
      </c>
      <c r="L172" s="25">
        <v>2026</v>
      </c>
      <c r="M172" s="25" t="s">
        <v>16</v>
      </c>
    </row>
    <row r="173" spans="1:13" ht="15.75" x14ac:dyDescent="0.25">
      <c r="A173" s="25">
        <v>170</v>
      </c>
      <c r="B173" s="5">
        <v>12605</v>
      </c>
      <c r="C173" s="6" t="s">
        <v>583</v>
      </c>
      <c r="D173" s="5">
        <v>30</v>
      </c>
      <c r="E173" s="29"/>
      <c r="F173" s="25"/>
      <c r="G173" s="25">
        <f>(D173-F173)</f>
        <v>30</v>
      </c>
      <c r="H173" s="27">
        <f t="shared" si="7"/>
        <v>28.5</v>
      </c>
      <c r="I173" s="28">
        <f t="shared" si="8"/>
        <v>1.5</v>
      </c>
      <c r="J173" s="25">
        <f t="shared" si="6"/>
        <v>19</v>
      </c>
      <c r="K173" s="9">
        <v>2007</v>
      </c>
      <c r="L173" s="25">
        <v>2026</v>
      </c>
      <c r="M173" s="25" t="s">
        <v>16</v>
      </c>
    </row>
    <row r="174" spans="1:13" ht="15.75" x14ac:dyDescent="0.25">
      <c r="A174" s="25">
        <v>171</v>
      </c>
      <c r="B174" s="5">
        <v>12607</v>
      </c>
      <c r="C174" s="6" t="s">
        <v>584</v>
      </c>
      <c r="D174" s="5">
        <v>125</v>
      </c>
      <c r="E174" s="29"/>
      <c r="F174" s="25"/>
      <c r="G174" s="25">
        <f>(D174-F174)</f>
        <v>125</v>
      </c>
      <c r="H174" s="27">
        <f t="shared" si="7"/>
        <v>118.75</v>
      </c>
      <c r="I174" s="28">
        <f t="shared" si="8"/>
        <v>6.25</v>
      </c>
      <c r="J174" s="25">
        <f t="shared" si="6"/>
        <v>19</v>
      </c>
      <c r="K174" s="5">
        <v>2007</v>
      </c>
      <c r="L174" s="25">
        <v>2026</v>
      </c>
      <c r="M174" s="25" t="s">
        <v>16</v>
      </c>
    </row>
    <row r="175" spans="1:13" ht="15.75" x14ac:dyDescent="0.25">
      <c r="A175" s="25">
        <v>172</v>
      </c>
      <c r="B175" s="9">
        <v>12618</v>
      </c>
      <c r="C175" s="9" t="s">
        <v>585</v>
      </c>
      <c r="D175" s="9">
        <v>30</v>
      </c>
      <c r="E175" s="29"/>
      <c r="F175" s="25"/>
      <c r="G175" s="25">
        <f>(D175-F175)</f>
        <v>30</v>
      </c>
      <c r="H175" s="27">
        <f t="shared" si="7"/>
        <v>28.5</v>
      </c>
      <c r="I175" s="28">
        <f t="shared" si="8"/>
        <v>1.5</v>
      </c>
      <c r="J175" s="25">
        <f t="shared" si="6"/>
        <v>18</v>
      </c>
      <c r="K175" s="9">
        <v>2008</v>
      </c>
      <c r="L175" s="25">
        <v>2026</v>
      </c>
      <c r="M175" s="25" t="s">
        <v>16</v>
      </c>
    </row>
    <row r="176" spans="1:13" ht="15.75" x14ac:dyDescent="0.25">
      <c r="A176" s="25">
        <v>173</v>
      </c>
      <c r="B176" s="9">
        <v>12621</v>
      </c>
      <c r="C176" s="9" t="s">
        <v>586</v>
      </c>
      <c r="D176" s="9">
        <v>30</v>
      </c>
      <c r="E176" s="29"/>
      <c r="F176" s="25"/>
      <c r="G176" s="25">
        <f>(D176-F176)</f>
        <v>30</v>
      </c>
      <c r="H176" s="27">
        <f t="shared" si="7"/>
        <v>28.5</v>
      </c>
      <c r="I176" s="28">
        <f t="shared" si="8"/>
        <v>1.5</v>
      </c>
      <c r="J176" s="25">
        <f t="shared" si="6"/>
        <v>18</v>
      </c>
      <c r="K176" s="9">
        <v>2008</v>
      </c>
      <c r="L176" s="25">
        <v>2026</v>
      </c>
      <c r="M176" s="25" t="s">
        <v>16</v>
      </c>
    </row>
    <row r="177" spans="1:13" ht="15.75" x14ac:dyDescent="0.25">
      <c r="A177" s="25">
        <v>174</v>
      </c>
      <c r="B177" s="5">
        <v>12626</v>
      </c>
      <c r="C177" s="6" t="s">
        <v>587</v>
      </c>
      <c r="D177" s="6">
        <v>30</v>
      </c>
      <c r="E177" s="29"/>
      <c r="F177" s="25"/>
      <c r="G177" s="25">
        <f>(D177-F177)</f>
        <v>30</v>
      </c>
      <c r="H177" s="27">
        <f t="shared" si="7"/>
        <v>28.5</v>
      </c>
      <c r="I177" s="28">
        <f t="shared" si="8"/>
        <v>1.5</v>
      </c>
      <c r="J177" s="25">
        <f t="shared" si="6"/>
        <v>18</v>
      </c>
      <c r="K177" s="6">
        <v>2008</v>
      </c>
      <c r="L177" s="25">
        <v>2026</v>
      </c>
      <c r="M177" s="25" t="s">
        <v>16</v>
      </c>
    </row>
    <row r="178" spans="1:13" ht="15.75" x14ac:dyDescent="0.25">
      <c r="A178" s="25">
        <v>175</v>
      </c>
      <c r="B178" s="5">
        <v>12628</v>
      </c>
      <c r="C178" s="6" t="s">
        <v>587</v>
      </c>
      <c r="D178" s="6">
        <v>30</v>
      </c>
      <c r="E178" s="29"/>
      <c r="F178" s="25"/>
      <c r="G178" s="25">
        <f>(D178-F178)</f>
        <v>30</v>
      </c>
      <c r="H178" s="27">
        <f t="shared" si="7"/>
        <v>28.5</v>
      </c>
      <c r="I178" s="28">
        <f t="shared" si="8"/>
        <v>1.5</v>
      </c>
      <c r="J178" s="25">
        <f t="shared" si="6"/>
        <v>18</v>
      </c>
      <c r="K178" s="6">
        <v>2008</v>
      </c>
      <c r="L178" s="25">
        <v>2026</v>
      </c>
      <c r="M178" s="25" t="s">
        <v>16</v>
      </c>
    </row>
    <row r="179" spans="1:13" ht="15.75" x14ac:dyDescent="0.25">
      <c r="A179" s="25">
        <v>176</v>
      </c>
      <c r="B179" s="9">
        <v>12630</v>
      </c>
      <c r="C179" s="9" t="s">
        <v>588</v>
      </c>
      <c r="D179" s="9">
        <v>30</v>
      </c>
      <c r="E179" s="29"/>
      <c r="F179" s="25"/>
      <c r="G179" s="25">
        <f>(D179-F179)</f>
        <v>30</v>
      </c>
      <c r="H179" s="27">
        <f t="shared" si="7"/>
        <v>28.5</v>
      </c>
      <c r="I179" s="28">
        <f t="shared" si="8"/>
        <v>1.5</v>
      </c>
      <c r="J179" s="25">
        <f t="shared" si="6"/>
        <v>18</v>
      </c>
      <c r="K179" s="9">
        <v>2008</v>
      </c>
      <c r="L179" s="25">
        <v>2026</v>
      </c>
      <c r="M179" s="25" t="s">
        <v>16</v>
      </c>
    </row>
    <row r="180" spans="1:13" ht="15.75" x14ac:dyDescent="0.25">
      <c r="A180" s="25">
        <v>177</v>
      </c>
      <c r="B180" s="9">
        <v>12631</v>
      </c>
      <c r="C180" s="9" t="s">
        <v>588</v>
      </c>
      <c r="D180" s="9">
        <v>30</v>
      </c>
      <c r="E180" s="29"/>
      <c r="F180" s="25"/>
      <c r="G180" s="25">
        <f>(D180-F180)</f>
        <v>30</v>
      </c>
      <c r="H180" s="27">
        <f t="shared" si="7"/>
        <v>28.5</v>
      </c>
      <c r="I180" s="28">
        <f t="shared" si="8"/>
        <v>1.5</v>
      </c>
      <c r="J180" s="25">
        <f t="shared" si="6"/>
        <v>18</v>
      </c>
      <c r="K180" s="9">
        <v>2008</v>
      </c>
      <c r="L180" s="25">
        <v>2026</v>
      </c>
      <c r="M180" s="25" t="s">
        <v>16</v>
      </c>
    </row>
    <row r="181" spans="1:13" ht="15.75" x14ac:dyDescent="0.25">
      <c r="A181" s="25">
        <v>178</v>
      </c>
      <c r="B181" s="5">
        <v>12641</v>
      </c>
      <c r="C181" s="6" t="s">
        <v>589</v>
      </c>
      <c r="D181" s="5">
        <v>30</v>
      </c>
      <c r="E181" s="29"/>
      <c r="F181" s="25"/>
      <c r="G181" s="25">
        <f>(D181-F181)</f>
        <v>30</v>
      </c>
      <c r="H181" s="27">
        <f t="shared" si="7"/>
        <v>28.5</v>
      </c>
      <c r="I181" s="28">
        <f t="shared" si="8"/>
        <v>1.5</v>
      </c>
      <c r="J181" s="25">
        <f t="shared" si="6"/>
        <v>18</v>
      </c>
      <c r="K181" s="5">
        <v>2008</v>
      </c>
      <c r="L181" s="25">
        <v>2026</v>
      </c>
      <c r="M181" s="25" t="s">
        <v>16</v>
      </c>
    </row>
    <row r="182" spans="1:13" ht="15.75" x14ac:dyDescent="0.25">
      <c r="A182" s="25">
        <v>179</v>
      </c>
      <c r="B182" s="9">
        <v>12653</v>
      </c>
      <c r="C182" s="9" t="s">
        <v>590</v>
      </c>
      <c r="D182" s="9">
        <v>30</v>
      </c>
      <c r="E182" s="29"/>
      <c r="F182" s="25"/>
      <c r="G182" s="25">
        <f>(D182-F182)</f>
        <v>30</v>
      </c>
      <c r="H182" s="27">
        <f t="shared" si="7"/>
        <v>28.5</v>
      </c>
      <c r="I182" s="28">
        <f t="shared" si="8"/>
        <v>1.5</v>
      </c>
      <c r="J182" s="25">
        <f t="shared" si="6"/>
        <v>18</v>
      </c>
      <c r="K182" s="9">
        <v>2008</v>
      </c>
      <c r="L182" s="25">
        <v>2026</v>
      </c>
      <c r="M182" s="25" t="s">
        <v>16</v>
      </c>
    </row>
    <row r="183" spans="1:13" ht="15.75" x14ac:dyDescent="0.25">
      <c r="A183" s="25">
        <v>180</v>
      </c>
      <c r="B183" s="9">
        <v>12655</v>
      </c>
      <c r="C183" s="9" t="s">
        <v>590</v>
      </c>
      <c r="D183" s="9">
        <v>30</v>
      </c>
      <c r="E183" s="29"/>
      <c r="F183" s="25"/>
      <c r="G183" s="25">
        <f>(D183-F183)</f>
        <v>30</v>
      </c>
      <c r="H183" s="27">
        <f t="shared" si="7"/>
        <v>28.5</v>
      </c>
      <c r="I183" s="28">
        <f t="shared" si="8"/>
        <v>1.5</v>
      </c>
      <c r="J183" s="25">
        <f t="shared" si="6"/>
        <v>18</v>
      </c>
      <c r="K183" s="9">
        <v>2008</v>
      </c>
      <c r="L183" s="25">
        <v>2026</v>
      </c>
      <c r="M183" s="25" t="s">
        <v>16</v>
      </c>
    </row>
    <row r="184" spans="1:13" ht="15.75" x14ac:dyDescent="0.25">
      <c r="A184" s="25">
        <v>181</v>
      </c>
      <c r="B184" s="9">
        <v>12657</v>
      </c>
      <c r="C184" s="9" t="s">
        <v>591</v>
      </c>
      <c r="D184" s="9">
        <v>30</v>
      </c>
      <c r="E184" s="29"/>
      <c r="F184" s="25"/>
      <c r="G184" s="25">
        <f>(D184-F184)</f>
        <v>30</v>
      </c>
      <c r="H184" s="27">
        <f t="shared" si="7"/>
        <v>28.5</v>
      </c>
      <c r="I184" s="28">
        <f t="shared" si="8"/>
        <v>1.5</v>
      </c>
      <c r="J184" s="25">
        <f t="shared" si="6"/>
        <v>18</v>
      </c>
      <c r="K184" s="9">
        <v>2008</v>
      </c>
      <c r="L184" s="25">
        <v>2026</v>
      </c>
      <c r="M184" s="25" t="s">
        <v>16</v>
      </c>
    </row>
    <row r="185" spans="1:13" ht="15.75" x14ac:dyDescent="0.25">
      <c r="A185" s="25">
        <v>182</v>
      </c>
      <c r="B185" s="5">
        <v>12660</v>
      </c>
      <c r="C185" s="6" t="s">
        <v>592</v>
      </c>
      <c r="D185" s="5">
        <v>30</v>
      </c>
      <c r="E185" s="29"/>
      <c r="F185" s="25"/>
      <c r="G185" s="25">
        <f>(D185-F185)</f>
        <v>30</v>
      </c>
      <c r="H185" s="27">
        <f t="shared" si="7"/>
        <v>28.5</v>
      </c>
      <c r="I185" s="28">
        <f t="shared" si="8"/>
        <v>1.5</v>
      </c>
      <c r="J185" s="25">
        <f t="shared" si="6"/>
        <v>18</v>
      </c>
      <c r="K185" s="5">
        <v>2008</v>
      </c>
      <c r="L185" s="25">
        <v>2026</v>
      </c>
      <c r="M185" s="25" t="s">
        <v>16</v>
      </c>
    </row>
    <row r="186" spans="1:13" ht="15.75" x14ac:dyDescent="0.25">
      <c r="A186" s="25">
        <v>183</v>
      </c>
      <c r="B186" s="5">
        <v>12679</v>
      </c>
      <c r="C186" s="6" t="s">
        <v>593</v>
      </c>
      <c r="D186" s="6">
        <v>110</v>
      </c>
      <c r="E186" s="29"/>
      <c r="F186" s="25"/>
      <c r="G186" s="25">
        <f>(D186-F186)</f>
        <v>110</v>
      </c>
      <c r="H186" s="27">
        <f t="shared" si="7"/>
        <v>104.5</v>
      </c>
      <c r="I186" s="28">
        <f t="shared" si="8"/>
        <v>5.5</v>
      </c>
      <c r="J186" s="25">
        <f t="shared" si="6"/>
        <v>18</v>
      </c>
      <c r="K186" s="6">
        <v>2008</v>
      </c>
      <c r="L186" s="25">
        <v>2026</v>
      </c>
      <c r="M186" s="25" t="s">
        <v>16</v>
      </c>
    </row>
    <row r="187" spans="1:13" ht="15.75" x14ac:dyDescent="0.25">
      <c r="A187" s="25">
        <v>184</v>
      </c>
      <c r="B187" s="9">
        <v>12680</v>
      </c>
      <c r="C187" s="9" t="s">
        <v>594</v>
      </c>
      <c r="D187" s="9">
        <v>110</v>
      </c>
      <c r="E187" s="29"/>
      <c r="F187" s="25"/>
      <c r="G187" s="25">
        <f>(D187-F187)</f>
        <v>110</v>
      </c>
      <c r="H187" s="27">
        <f t="shared" si="7"/>
        <v>104.5</v>
      </c>
      <c r="I187" s="28">
        <f t="shared" si="8"/>
        <v>5.5</v>
      </c>
      <c r="J187" s="25">
        <f t="shared" si="6"/>
        <v>18</v>
      </c>
      <c r="K187" s="9">
        <v>2008</v>
      </c>
      <c r="L187" s="25">
        <v>2026</v>
      </c>
      <c r="M187" s="25" t="s">
        <v>16</v>
      </c>
    </row>
    <row r="188" spans="1:13" ht="15.75" x14ac:dyDescent="0.25">
      <c r="A188" s="25">
        <v>185</v>
      </c>
      <c r="B188" s="9">
        <v>12686</v>
      </c>
      <c r="C188" s="9" t="s">
        <v>595</v>
      </c>
      <c r="D188" s="9">
        <v>155</v>
      </c>
      <c r="E188" s="29"/>
      <c r="F188" s="25"/>
      <c r="G188" s="25">
        <f>(D188-F188)</f>
        <v>155</v>
      </c>
      <c r="H188" s="27">
        <f t="shared" si="7"/>
        <v>147.25</v>
      </c>
      <c r="I188" s="28">
        <f t="shared" si="8"/>
        <v>7.75</v>
      </c>
      <c r="J188" s="25">
        <f t="shared" si="6"/>
        <v>18</v>
      </c>
      <c r="K188" s="9">
        <v>2008</v>
      </c>
      <c r="L188" s="25">
        <v>2026</v>
      </c>
      <c r="M188" s="25" t="s">
        <v>16</v>
      </c>
    </row>
    <row r="189" spans="1:13" ht="15.75" x14ac:dyDescent="0.25">
      <c r="A189" s="25">
        <v>186</v>
      </c>
      <c r="B189" s="5">
        <v>12695</v>
      </c>
      <c r="C189" s="6" t="s">
        <v>596</v>
      </c>
      <c r="D189" s="5">
        <v>180</v>
      </c>
      <c r="E189" s="29"/>
      <c r="F189" s="25"/>
      <c r="G189" s="25">
        <f>(D189-F189)</f>
        <v>180</v>
      </c>
      <c r="H189" s="27">
        <f t="shared" si="7"/>
        <v>171</v>
      </c>
      <c r="I189" s="28">
        <f t="shared" si="8"/>
        <v>9</v>
      </c>
      <c r="J189" s="25">
        <f t="shared" si="6"/>
        <v>18</v>
      </c>
      <c r="K189" s="5">
        <v>2008</v>
      </c>
      <c r="L189" s="25">
        <v>2026</v>
      </c>
      <c r="M189" s="25" t="s">
        <v>16</v>
      </c>
    </row>
    <row r="190" spans="1:13" ht="15.75" x14ac:dyDescent="0.25">
      <c r="A190" s="25">
        <v>187</v>
      </c>
      <c r="B190" s="5">
        <v>12780</v>
      </c>
      <c r="C190" s="6" t="s">
        <v>597</v>
      </c>
      <c r="D190" s="5">
        <v>25</v>
      </c>
      <c r="E190" s="29"/>
      <c r="F190" s="25"/>
      <c r="G190" s="25">
        <f>(D190-F190)</f>
        <v>25</v>
      </c>
      <c r="H190" s="27">
        <f t="shared" si="7"/>
        <v>23.75</v>
      </c>
      <c r="I190" s="28">
        <f t="shared" si="8"/>
        <v>1.25</v>
      </c>
      <c r="J190" s="25">
        <f t="shared" si="6"/>
        <v>18</v>
      </c>
      <c r="K190" s="5">
        <v>2008</v>
      </c>
      <c r="L190" s="25">
        <v>2026</v>
      </c>
      <c r="M190" s="25" t="s">
        <v>16</v>
      </c>
    </row>
    <row r="191" spans="1:13" ht="15.75" x14ac:dyDescent="0.25">
      <c r="A191" s="25">
        <v>188</v>
      </c>
      <c r="B191" s="5">
        <v>12791</v>
      </c>
      <c r="C191" s="6" t="s">
        <v>598</v>
      </c>
      <c r="D191" s="6">
        <v>30</v>
      </c>
      <c r="E191" s="29"/>
      <c r="F191" s="25"/>
      <c r="G191" s="25">
        <f>(D191-F191)</f>
        <v>30</v>
      </c>
      <c r="H191" s="27">
        <f t="shared" si="7"/>
        <v>28.5</v>
      </c>
      <c r="I191" s="28">
        <f t="shared" si="8"/>
        <v>1.5</v>
      </c>
      <c r="J191" s="25">
        <f t="shared" si="6"/>
        <v>18</v>
      </c>
      <c r="K191" s="6">
        <v>2008</v>
      </c>
      <c r="L191" s="25">
        <v>2026</v>
      </c>
      <c r="M191" s="25" t="s">
        <v>16</v>
      </c>
    </row>
    <row r="192" spans="1:13" ht="15.75" x14ac:dyDescent="0.25">
      <c r="A192" s="25">
        <v>189</v>
      </c>
      <c r="B192" s="9">
        <v>12901</v>
      </c>
      <c r="C192" s="9" t="s">
        <v>599</v>
      </c>
      <c r="D192" s="9">
        <v>240</v>
      </c>
      <c r="E192" s="29"/>
      <c r="F192" s="25"/>
      <c r="G192" s="25">
        <f>(D192-F192)</f>
        <v>240</v>
      </c>
      <c r="H192" s="27">
        <f t="shared" si="7"/>
        <v>228</v>
      </c>
      <c r="I192" s="28">
        <f t="shared" si="8"/>
        <v>12</v>
      </c>
      <c r="J192" s="25">
        <f t="shared" si="6"/>
        <v>18</v>
      </c>
      <c r="K192" s="9">
        <v>2008</v>
      </c>
      <c r="L192" s="25">
        <v>2026</v>
      </c>
      <c r="M192" s="25" t="s">
        <v>16</v>
      </c>
    </row>
    <row r="193" spans="1:13" ht="15.75" x14ac:dyDescent="0.25">
      <c r="A193" s="25">
        <v>190</v>
      </c>
      <c r="B193" s="9">
        <v>12905</v>
      </c>
      <c r="C193" s="9" t="s">
        <v>588</v>
      </c>
      <c r="D193" s="9">
        <v>30</v>
      </c>
      <c r="E193" s="29"/>
      <c r="F193" s="25"/>
      <c r="G193" s="25">
        <f>(D193-F193)</f>
        <v>30</v>
      </c>
      <c r="H193" s="27">
        <f t="shared" si="7"/>
        <v>28.5</v>
      </c>
      <c r="I193" s="28">
        <f t="shared" si="8"/>
        <v>1.5</v>
      </c>
      <c r="J193" s="25">
        <f t="shared" si="6"/>
        <v>18</v>
      </c>
      <c r="K193" s="9">
        <v>2008</v>
      </c>
      <c r="L193" s="25">
        <v>2026</v>
      </c>
      <c r="M193" s="25" t="s">
        <v>16</v>
      </c>
    </row>
    <row r="194" spans="1:13" ht="15.75" x14ac:dyDescent="0.25">
      <c r="A194" s="25">
        <v>191</v>
      </c>
      <c r="B194" s="9">
        <v>12906</v>
      </c>
      <c r="C194" s="9" t="s">
        <v>588</v>
      </c>
      <c r="D194" s="9">
        <v>30</v>
      </c>
      <c r="E194" s="29"/>
      <c r="F194" s="25"/>
      <c r="G194" s="25">
        <f>(D194-F194)</f>
        <v>30</v>
      </c>
      <c r="H194" s="27">
        <f t="shared" si="7"/>
        <v>28.5</v>
      </c>
      <c r="I194" s="28">
        <f t="shared" si="8"/>
        <v>1.5</v>
      </c>
      <c r="J194" s="25">
        <f t="shared" si="6"/>
        <v>18</v>
      </c>
      <c r="K194" s="9">
        <v>2008</v>
      </c>
      <c r="L194" s="25">
        <v>2026</v>
      </c>
      <c r="M194" s="25" t="s">
        <v>16</v>
      </c>
    </row>
    <row r="195" spans="1:13" ht="15.75" x14ac:dyDescent="0.25">
      <c r="A195" s="25">
        <v>192</v>
      </c>
      <c r="B195" s="5">
        <v>12909</v>
      </c>
      <c r="C195" s="6" t="s">
        <v>600</v>
      </c>
      <c r="D195" s="5">
        <v>30</v>
      </c>
      <c r="E195" s="29"/>
      <c r="F195" s="25"/>
      <c r="G195" s="25">
        <f>(D195-F195)</f>
        <v>30</v>
      </c>
      <c r="H195" s="27">
        <f t="shared" si="7"/>
        <v>28.5</v>
      </c>
      <c r="I195" s="28">
        <f t="shared" si="8"/>
        <v>1.5</v>
      </c>
      <c r="J195" s="25">
        <f t="shared" si="6"/>
        <v>18</v>
      </c>
      <c r="K195" s="5">
        <v>2008</v>
      </c>
      <c r="L195" s="25">
        <v>2026</v>
      </c>
      <c r="M195" s="25" t="s">
        <v>16</v>
      </c>
    </row>
    <row r="196" spans="1:13" ht="15.75" x14ac:dyDescent="0.25">
      <c r="A196" s="25">
        <v>193</v>
      </c>
      <c r="B196" s="9">
        <v>12909</v>
      </c>
      <c r="C196" s="9" t="s">
        <v>588</v>
      </c>
      <c r="D196" s="9">
        <v>30</v>
      </c>
      <c r="E196" s="29"/>
      <c r="F196" s="25"/>
      <c r="G196" s="25">
        <f>(D196-F196)</f>
        <v>30</v>
      </c>
      <c r="H196" s="27">
        <f t="shared" si="7"/>
        <v>28.5</v>
      </c>
      <c r="I196" s="28">
        <f t="shared" si="8"/>
        <v>1.5</v>
      </c>
      <c r="J196" s="25">
        <f t="shared" ref="J196:J259" si="9">(L196-K196)</f>
        <v>18</v>
      </c>
      <c r="K196" s="9">
        <v>2008</v>
      </c>
      <c r="L196" s="25">
        <v>2026</v>
      </c>
      <c r="M196" s="25" t="s">
        <v>16</v>
      </c>
    </row>
    <row r="197" spans="1:13" ht="15.75" x14ac:dyDescent="0.25">
      <c r="A197" s="25">
        <v>194</v>
      </c>
      <c r="B197" s="5">
        <v>12911</v>
      </c>
      <c r="C197" s="6" t="s">
        <v>601</v>
      </c>
      <c r="D197" s="5">
        <v>30</v>
      </c>
      <c r="E197" s="29"/>
      <c r="F197" s="25"/>
      <c r="G197" s="25">
        <f>(D197-F197)</f>
        <v>30</v>
      </c>
      <c r="H197" s="27">
        <f t="shared" ref="H197:H260" si="10">(G197*0.95)</f>
        <v>28.5</v>
      </c>
      <c r="I197" s="28">
        <f t="shared" ref="I197:I260" si="11">(G197-H197)</f>
        <v>1.5</v>
      </c>
      <c r="J197" s="25">
        <f t="shared" si="9"/>
        <v>18</v>
      </c>
      <c r="K197" s="5">
        <v>2008</v>
      </c>
      <c r="L197" s="25">
        <v>2026</v>
      </c>
      <c r="M197" s="25" t="s">
        <v>16</v>
      </c>
    </row>
    <row r="198" spans="1:13" ht="15.75" x14ac:dyDescent="0.25">
      <c r="A198" s="25">
        <v>195</v>
      </c>
      <c r="B198" s="9">
        <v>12915</v>
      </c>
      <c r="C198" s="9" t="s">
        <v>580</v>
      </c>
      <c r="D198" s="9">
        <v>35</v>
      </c>
      <c r="E198" s="29"/>
      <c r="F198" s="25"/>
      <c r="G198" s="25">
        <f>(D198-F198)</f>
        <v>35</v>
      </c>
      <c r="H198" s="27">
        <f t="shared" si="10"/>
        <v>33.25</v>
      </c>
      <c r="I198" s="28">
        <f t="shared" si="11"/>
        <v>1.75</v>
      </c>
      <c r="J198" s="25">
        <f t="shared" si="9"/>
        <v>18</v>
      </c>
      <c r="K198" s="9">
        <v>2008</v>
      </c>
      <c r="L198" s="25">
        <v>2026</v>
      </c>
      <c r="M198" s="25" t="s">
        <v>16</v>
      </c>
    </row>
    <row r="199" spans="1:13" ht="15.75" x14ac:dyDescent="0.25">
      <c r="A199" s="25">
        <v>196</v>
      </c>
      <c r="B199" s="9">
        <v>12921</v>
      </c>
      <c r="C199" s="9" t="s">
        <v>602</v>
      </c>
      <c r="D199" s="9">
        <v>30</v>
      </c>
      <c r="E199" s="29"/>
      <c r="F199" s="25"/>
      <c r="G199" s="25">
        <f>(D199-F199)</f>
        <v>30</v>
      </c>
      <c r="H199" s="27">
        <f t="shared" si="10"/>
        <v>28.5</v>
      </c>
      <c r="I199" s="28">
        <f t="shared" si="11"/>
        <v>1.5</v>
      </c>
      <c r="J199" s="25">
        <f t="shared" si="9"/>
        <v>17</v>
      </c>
      <c r="K199" s="9">
        <v>2009</v>
      </c>
      <c r="L199" s="25">
        <v>2026</v>
      </c>
      <c r="M199" s="25" t="s">
        <v>16</v>
      </c>
    </row>
    <row r="200" spans="1:13" ht="15.75" x14ac:dyDescent="0.25">
      <c r="A200" s="25">
        <v>197</v>
      </c>
      <c r="B200" s="9">
        <v>12922</v>
      </c>
      <c r="C200" s="9" t="s">
        <v>603</v>
      </c>
      <c r="D200" s="9">
        <v>30</v>
      </c>
      <c r="E200" s="29"/>
      <c r="F200" s="25"/>
      <c r="G200" s="25">
        <f>(D200-F200)</f>
        <v>30</v>
      </c>
      <c r="H200" s="27">
        <f t="shared" si="10"/>
        <v>28.5</v>
      </c>
      <c r="I200" s="28">
        <f t="shared" si="11"/>
        <v>1.5</v>
      </c>
      <c r="J200" s="25">
        <f t="shared" si="9"/>
        <v>17</v>
      </c>
      <c r="K200" s="9">
        <v>2009</v>
      </c>
      <c r="L200" s="25">
        <v>2026</v>
      </c>
      <c r="M200" s="25" t="s">
        <v>16</v>
      </c>
    </row>
    <row r="201" spans="1:13" ht="15.75" x14ac:dyDescent="0.25">
      <c r="A201" s="25">
        <v>198</v>
      </c>
      <c r="B201" s="5">
        <v>12923</v>
      </c>
      <c r="C201" s="6" t="s">
        <v>604</v>
      </c>
      <c r="D201" s="5">
        <v>30</v>
      </c>
      <c r="E201" s="29"/>
      <c r="F201" s="25"/>
      <c r="G201" s="25">
        <f>(D201-F201)</f>
        <v>30</v>
      </c>
      <c r="H201" s="27">
        <f t="shared" si="10"/>
        <v>28.5</v>
      </c>
      <c r="I201" s="28">
        <f t="shared" si="11"/>
        <v>1.5</v>
      </c>
      <c r="J201" s="25">
        <f t="shared" si="9"/>
        <v>18</v>
      </c>
      <c r="K201" s="5">
        <v>2008</v>
      </c>
      <c r="L201" s="25">
        <v>2026</v>
      </c>
      <c r="M201" s="25" t="s">
        <v>16</v>
      </c>
    </row>
    <row r="202" spans="1:13" ht="15.75" x14ac:dyDescent="0.25">
      <c r="A202" s="25">
        <v>199</v>
      </c>
      <c r="B202" s="9">
        <v>12924</v>
      </c>
      <c r="C202" s="9" t="s">
        <v>602</v>
      </c>
      <c r="D202" s="9">
        <v>30</v>
      </c>
      <c r="E202" s="29"/>
      <c r="F202" s="25"/>
      <c r="G202" s="25">
        <f>(D202-F202)</f>
        <v>30</v>
      </c>
      <c r="H202" s="27">
        <f t="shared" si="10"/>
        <v>28.5</v>
      </c>
      <c r="I202" s="28">
        <f t="shared" si="11"/>
        <v>1.5</v>
      </c>
      <c r="J202" s="25">
        <f t="shared" si="9"/>
        <v>17</v>
      </c>
      <c r="K202" s="9">
        <v>2009</v>
      </c>
      <c r="L202" s="25">
        <v>2026</v>
      </c>
      <c r="M202" s="25" t="s">
        <v>16</v>
      </c>
    </row>
    <row r="203" spans="1:13" ht="15.75" x14ac:dyDescent="0.25">
      <c r="A203" s="25">
        <v>200</v>
      </c>
      <c r="B203" s="5">
        <v>12925</v>
      </c>
      <c r="C203" s="6" t="s">
        <v>605</v>
      </c>
      <c r="D203" s="5">
        <v>30</v>
      </c>
      <c r="E203" s="29"/>
      <c r="F203" s="25"/>
      <c r="G203" s="25">
        <f>(D203-F203)</f>
        <v>30</v>
      </c>
      <c r="H203" s="27">
        <f t="shared" si="10"/>
        <v>28.5</v>
      </c>
      <c r="I203" s="28">
        <f t="shared" si="11"/>
        <v>1.5</v>
      </c>
      <c r="J203" s="25">
        <f t="shared" si="9"/>
        <v>18</v>
      </c>
      <c r="K203" s="5">
        <v>2008</v>
      </c>
      <c r="L203" s="25">
        <v>2026</v>
      </c>
      <c r="M203" s="25" t="s">
        <v>16</v>
      </c>
    </row>
    <row r="204" spans="1:13" ht="15.75" x14ac:dyDescent="0.25">
      <c r="A204" s="25">
        <v>201</v>
      </c>
      <c r="B204" s="9">
        <v>12926</v>
      </c>
      <c r="C204" s="9" t="s">
        <v>603</v>
      </c>
      <c r="D204" s="9">
        <v>30</v>
      </c>
      <c r="E204" s="29"/>
      <c r="F204" s="25"/>
      <c r="G204" s="25">
        <f>(D204-F204)</f>
        <v>30</v>
      </c>
      <c r="H204" s="27">
        <f t="shared" si="10"/>
        <v>28.5</v>
      </c>
      <c r="I204" s="28">
        <f t="shared" si="11"/>
        <v>1.5</v>
      </c>
      <c r="J204" s="25">
        <f t="shared" si="9"/>
        <v>17</v>
      </c>
      <c r="K204" s="9">
        <v>2009</v>
      </c>
      <c r="L204" s="25">
        <v>2026</v>
      </c>
      <c r="M204" s="25" t="s">
        <v>16</v>
      </c>
    </row>
    <row r="205" spans="1:13" ht="15.75" x14ac:dyDescent="0.25">
      <c r="A205" s="25">
        <v>202</v>
      </c>
      <c r="B205" s="9">
        <v>12927</v>
      </c>
      <c r="C205" s="9" t="s">
        <v>606</v>
      </c>
      <c r="D205" s="9">
        <v>30</v>
      </c>
      <c r="E205" s="29"/>
      <c r="F205" s="25"/>
      <c r="G205" s="25">
        <f>(D205-F205)</f>
        <v>30</v>
      </c>
      <c r="H205" s="27">
        <f t="shared" si="10"/>
        <v>28.5</v>
      </c>
      <c r="I205" s="28">
        <f t="shared" si="11"/>
        <v>1.5</v>
      </c>
      <c r="J205" s="25">
        <f t="shared" si="9"/>
        <v>17</v>
      </c>
      <c r="K205" s="9">
        <v>2009</v>
      </c>
      <c r="L205" s="25">
        <v>2026</v>
      </c>
      <c r="M205" s="25" t="s">
        <v>16</v>
      </c>
    </row>
    <row r="206" spans="1:13" ht="15.75" x14ac:dyDescent="0.25">
      <c r="A206" s="25">
        <v>203</v>
      </c>
      <c r="B206" s="5">
        <v>13032</v>
      </c>
      <c r="C206" s="6" t="s">
        <v>607</v>
      </c>
      <c r="D206" s="6">
        <v>40</v>
      </c>
      <c r="E206" s="29"/>
      <c r="F206" s="25"/>
      <c r="G206" s="25">
        <f>(D206-F206)</f>
        <v>40</v>
      </c>
      <c r="H206" s="27">
        <f t="shared" si="10"/>
        <v>38</v>
      </c>
      <c r="I206" s="28">
        <f t="shared" si="11"/>
        <v>2</v>
      </c>
      <c r="J206" s="25">
        <f t="shared" si="9"/>
        <v>16</v>
      </c>
      <c r="K206" s="6">
        <v>2010</v>
      </c>
      <c r="L206" s="25">
        <v>2026</v>
      </c>
      <c r="M206" s="25" t="s">
        <v>16</v>
      </c>
    </row>
    <row r="207" spans="1:13" ht="15.75" x14ac:dyDescent="0.25">
      <c r="A207" s="25">
        <v>204</v>
      </c>
      <c r="B207" s="5">
        <v>13035</v>
      </c>
      <c r="C207" s="6" t="s">
        <v>608</v>
      </c>
      <c r="D207" s="5">
        <v>35</v>
      </c>
      <c r="E207" s="29"/>
      <c r="F207" s="25"/>
      <c r="G207" s="25">
        <f>(D207-F207)</f>
        <v>35</v>
      </c>
      <c r="H207" s="27">
        <f t="shared" si="10"/>
        <v>33.25</v>
      </c>
      <c r="I207" s="28">
        <f t="shared" si="11"/>
        <v>1.75</v>
      </c>
      <c r="J207" s="25">
        <f t="shared" si="9"/>
        <v>16</v>
      </c>
      <c r="K207" s="5">
        <v>2010</v>
      </c>
      <c r="L207" s="25">
        <v>2026</v>
      </c>
      <c r="M207" s="25" t="s">
        <v>16</v>
      </c>
    </row>
    <row r="208" spans="1:13" ht="15.75" x14ac:dyDescent="0.25">
      <c r="A208" s="25">
        <v>205</v>
      </c>
      <c r="B208" s="5">
        <v>13058</v>
      </c>
      <c r="C208" s="6" t="s">
        <v>609</v>
      </c>
      <c r="D208" s="5">
        <v>20</v>
      </c>
      <c r="E208" s="29"/>
      <c r="F208" s="25"/>
      <c r="G208" s="25">
        <f>(D208-F208)</f>
        <v>20</v>
      </c>
      <c r="H208" s="27">
        <f t="shared" si="10"/>
        <v>19</v>
      </c>
      <c r="I208" s="28">
        <f t="shared" si="11"/>
        <v>1</v>
      </c>
      <c r="J208" s="25">
        <f t="shared" si="9"/>
        <v>16</v>
      </c>
      <c r="K208" s="5">
        <v>2010</v>
      </c>
      <c r="L208" s="25">
        <v>2026</v>
      </c>
      <c r="M208" s="25" t="s">
        <v>16</v>
      </c>
    </row>
    <row r="209" spans="1:13" ht="15.75" x14ac:dyDescent="0.25">
      <c r="A209" s="25">
        <v>206</v>
      </c>
      <c r="B209" s="5">
        <v>13058</v>
      </c>
      <c r="C209" s="6" t="s">
        <v>610</v>
      </c>
      <c r="D209" s="5">
        <v>20</v>
      </c>
      <c r="E209" s="29"/>
      <c r="F209" s="25"/>
      <c r="G209" s="25">
        <f>(D209-F209)</f>
        <v>20</v>
      </c>
      <c r="H209" s="27">
        <f t="shared" si="10"/>
        <v>19</v>
      </c>
      <c r="I209" s="28">
        <f t="shared" si="11"/>
        <v>1</v>
      </c>
      <c r="J209" s="25">
        <f t="shared" si="9"/>
        <v>16</v>
      </c>
      <c r="K209" s="5">
        <v>2010</v>
      </c>
      <c r="L209" s="25">
        <v>2026</v>
      </c>
      <c r="M209" s="25" t="s">
        <v>16</v>
      </c>
    </row>
    <row r="210" spans="1:13" ht="15.75" x14ac:dyDescent="0.25">
      <c r="A210" s="25">
        <v>207</v>
      </c>
      <c r="B210" s="5">
        <v>13085</v>
      </c>
      <c r="C210" s="6" t="s">
        <v>611</v>
      </c>
      <c r="D210" s="5">
        <v>80</v>
      </c>
      <c r="E210" s="29"/>
      <c r="F210" s="25"/>
      <c r="G210" s="25">
        <f>(D210-F210)</f>
        <v>80</v>
      </c>
      <c r="H210" s="27">
        <f t="shared" si="10"/>
        <v>76</v>
      </c>
      <c r="I210" s="28">
        <f t="shared" si="11"/>
        <v>4</v>
      </c>
      <c r="J210" s="25">
        <f t="shared" si="9"/>
        <v>16</v>
      </c>
      <c r="K210" s="5">
        <v>2010</v>
      </c>
      <c r="L210" s="25">
        <v>2026</v>
      </c>
      <c r="M210" s="25" t="s">
        <v>16</v>
      </c>
    </row>
    <row r="211" spans="1:13" ht="15.75" x14ac:dyDescent="0.25">
      <c r="A211" s="25">
        <v>208</v>
      </c>
      <c r="B211" s="5">
        <v>13090</v>
      </c>
      <c r="C211" s="6" t="s">
        <v>612</v>
      </c>
      <c r="D211" s="6">
        <v>20</v>
      </c>
      <c r="E211" s="29"/>
      <c r="F211" s="25"/>
      <c r="G211" s="25">
        <f>(D211-F211)</f>
        <v>20</v>
      </c>
      <c r="H211" s="27">
        <f t="shared" si="10"/>
        <v>19</v>
      </c>
      <c r="I211" s="28">
        <f t="shared" si="11"/>
        <v>1</v>
      </c>
      <c r="J211" s="25">
        <f t="shared" si="9"/>
        <v>16</v>
      </c>
      <c r="K211" s="6">
        <v>2010</v>
      </c>
      <c r="L211" s="25">
        <v>2026</v>
      </c>
      <c r="M211" s="25" t="s">
        <v>16</v>
      </c>
    </row>
    <row r="212" spans="1:13" ht="15.75" x14ac:dyDescent="0.25">
      <c r="A212" s="25">
        <v>209</v>
      </c>
      <c r="B212" s="5">
        <v>13142</v>
      </c>
      <c r="C212" s="6" t="s">
        <v>613</v>
      </c>
      <c r="D212" s="5">
        <v>20</v>
      </c>
      <c r="E212" s="29"/>
      <c r="F212" s="25"/>
      <c r="G212" s="25">
        <f>(D212-F212)</f>
        <v>20</v>
      </c>
      <c r="H212" s="27">
        <f t="shared" si="10"/>
        <v>19</v>
      </c>
      <c r="I212" s="28">
        <f t="shared" si="11"/>
        <v>1</v>
      </c>
      <c r="J212" s="25">
        <f t="shared" si="9"/>
        <v>16</v>
      </c>
      <c r="K212" s="5">
        <v>2010</v>
      </c>
      <c r="L212" s="25">
        <v>2026</v>
      </c>
      <c r="M212" s="25" t="s">
        <v>16</v>
      </c>
    </row>
    <row r="213" spans="1:13" ht="15.75" x14ac:dyDescent="0.25">
      <c r="A213" s="25">
        <v>210</v>
      </c>
      <c r="B213" s="5">
        <v>13220</v>
      </c>
      <c r="C213" s="6" t="s">
        <v>614</v>
      </c>
      <c r="D213" s="6">
        <v>20</v>
      </c>
      <c r="E213" s="29"/>
      <c r="F213" s="25"/>
      <c r="G213" s="25">
        <f>(D213-F213)</f>
        <v>20</v>
      </c>
      <c r="H213" s="27">
        <f t="shared" si="10"/>
        <v>19</v>
      </c>
      <c r="I213" s="28">
        <f t="shared" si="11"/>
        <v>1</v>
      </c>
      <c r="J213" s="25">
        <f t="shared" si="9"/>
        <v>16</v>
      </c>
      <c r="K213" s="6">
        <v>2010</v>
      </c>
      <c r="L213" s="25">
        <v>2026</v>
      </c>
      <c r="M213" s="25" t="s">
        <v>16</v>
      </c>
    </row>
    <row r="214" spans="1:13" ht="15.75" x14ac:dyDescent="0.25">
      <c r="A214" s="25">
        <v>211</v>
      </c>
      <c r="B214" s="6">
        <v>13234</v>
      </c>
      <c r="C214" s="6" t="s">
        <v>615</v>
      </c>
      <c r="D214" s="6">
        <v>45</v>
      </c>
      <c r="E214" s="29"/>
      <c r="F214" s="25"/>
      <c r="G214" s="25">
        <f>(D214-F214)</f>
        <v>45</v>
      </c>
      <c r="H214" s="27">
        <f t="shared" si="10"/>
        <v>42.75</v>
      </c>
      <c r="I214" s="28">
        <f t="shared" si="11"/>
        <v>2.25</v>
      </c>
      <c r="J214" s="25">
        <f t="shared" si="9"/>
        <v>16</v>
      </c>
      <c r="K214" s="6">
        <v>2010</v>
      </c>
      <c r="L214" s="25">
        <v>2026</v>
      </c>
      <c r="M214" s="25" t="s">
        <v>16</v>
      </c>
    </row>
    <row r="215" spans="1:13" ht="15.75" x14ac:dyDescent="0.25">
      <c r="A215" s="25">
        <v>212</v>
      </c>
      <c r="B215" s="5">
        <v>13240</v>
      </c>
      <c r="C215" s="6" t="s">
        <v>616</v>
      </c>
      <c r="D215" s="6">
        <v>45</v>
      </c>
      <c r="E215" s="29"/>
      <c r="F215" s="25"/>
      <c r="G215" s="25">
        <f>(D215-F215)</f>
        <v>45</v>
      </c>
      <c r="H215" s="27">
        <f t="shared" si="10"/>
        <v>42.75</v>
      </c>
      <c r="I215" s="28">
        <f t="shared" si="11"/>
        <v>2.25</v>
      </c>
      <c r="J215" s="25">
        <f t="shared" si="9"/>
        <v>16</v>
      </c>
      <c r="K215" s="6">
        <v>2010</v>
      </c>
      <c r="L215" s="25">
        <v>2026</v>
      </c>
      <c r="M215" s="25" t="s">
        <v>16</v>
      </c>
    </row>
    <row r="216" spans="1:13" ht="15.75" x14ac:dyDescent="0.25">
      <c r="A216" s="25">
        <v>213</v>
      </c>
      <c r="B216" s="5">
        <v>13256</v>
      </c>
      <c r="C216" s="6" t="s">
        <v>617</v>
      </c>
      <c r="D216" s="6">
        <v>20</v>
      </c>
      <c r="E216" s="29"/>
      <c r="F216" s="25"/>
      <c r="G216" s="25">
        <f>(D216-F216)</f>
        <v>20</v>
      </c>
      <c r="H216" s="27">
        <f t="shared" si="10"/>
        <v>19</v>
      </c>
      <c r="I216" s="28">
        <f t="shared" si="11"/>
        <v>1</v>
      </c>
      <c r="J216" s="25">
        <f t="shared" si="9"/>
        <v>16</v>
      </c>
      <c r="K216" s="6">
        <v>2010</v>
      </c>
      <c r="L216" s="25">
        <v>2026</v>
      </c>
      <c r="M216" s="25" t="s">
        <v>16</v>
      </c>
    </row>
    <row r="217" spans="1:13" ht="15.75" x14ac:dyDescent="0.25">
      <c r="A217" s="25">
        <v>214</v>
      </c>
      <c r="B217" s="5">
        <v>13256</v>
      </c>
      <c r="C217" s="6" t="s">
        <v>618</v>
      </c>
      <c r="D217" s="5">
        <v>20</v>
      </c>
      <c r="E217" s="29"/>
      <c r="F217" s="25"/>
      <c r="G217" s="25">
        <f>(D217-F217)</f>
        <v>20</v>
      </c>
      <c r="H217" s="27">
        <f t="shared" si="10"/>
        <v>19</v>
      </c>
      <c r="I217" s="28">
        <f t="shared" si="11"/>
        <v>1</v>
      </c>
      <c r="J217" s="25">
        <f t="shared" si="9"/>
        <v>16</v>
      </c>
      <c r="K217" s="5">
        <v>2010</v>
      </c>
      <c r="L217" s="25">
        <v>2026</v>
      </c>
      <c r="M217" s="25" t="s">
        <v>16</v>
      </c>
    </row>
    <row r="218" spans="1:13" ht="15.75" x14ac:dyDescent="0.25">
      <c r="A218" s="25">
        <v>215</v>
      </c>
      <c r="B218" s="5">
        <v>13281</v>
      </c>
      <c r="C218" s="6" t="s">
        <v>619</v>
      </c>
      <c r="D218" s="5">
        <v>40</v>
      </c>
      <c r="E218" s="29"/>
      <c r="F218" s="25"/>
      <c r="G218" s="25">
        <f>(D218-F218)</f>
        <v>40</v>
      </c>
      <c r="H218" s="27">
        <f t="shared" si="10"/>
        <v>38</v>
      </c>
      <c r="I218" s="28">
        <f t="shared" si="11"/>
        <v>2</v>
      </c>
      <c r="J218" s="25">
        <f t="shared" si="9"/>
        <v>16</v>
      </c>
      <c r="K218" s="5">
        <v>2010</v>
      </c>
      <c r="L218" s="25">
        <v>2026</v>
      </c>
      <c r="M218" s="25" t="s">
        <v>16</v>
      </c>
    </row>
    <row r="219" spans="1:13" ht="15.75" x14ac:dyDescent="0.25">
      <c r="A219" s="25">
        <v>216</v>
      </c>
      <c r="B219" s="5">
        <v>13288</v>
      </c>
      <c r="C219" s="6" t="s">
        <v>620</v>
      </c>
      <c r="D219" s="5">
        <v>40</v>
      </c>
      <c r="E219" s="29"/>
      <c r="F219" s="25"/>
      <c r="G219" s="25">
        <f>(D219-F219)</f>
        <v>40</v>
      </c>
      <c r="H219" s="27">
        <f t="shared" si="10"/>
        <v>38</v>
      </c>
      <c r="I219" s="28">
        <f t="shared" si="11"/>
        <v>2</v>
      </c>
      <c r="J219" s="25">
        <f t="shared" si="9"/>
        <v>16</v>
      </c>
      <c r="K219" s="5">
        <v>2010</v>
      </c>
      <c r="L219" s="25">
        <v>2026</v>
      </c>
      <c r="M219" s="25" t="s">
        <v>16</v>
      </c>
    </row>
    <row r="220" spans="1:13" ht="15.75" x14ac:dyDescent="0.25">
      <c r="A220" s="25">
        <v>217</v>
      </c>
      <c r="B220" s="5">
        <v>13298</v>
      </c>
      <c r="C220" s="6" t="s">
        <v>621</v>
      </c>
      <c r="D220" s="5">
        <v>40</v>
      </c>
      <c r="E220" s="29"/>
      <c r="F220" s="25"/>
      <c r="G220" s="25">
        <f>(D220-F220)</f>
        <v>40</v>
      </c>
      <c r="H220" s="27">
        <f t="shared" si="10"/>
        <v>38</v>
      </c>
      <c r="I220" s="28">
        <f t="shared" si="11"/>
        <v>2</v>
      </c>
      <c r="J220" s="25">
        <f t="shared" si="9"/>
        <v>16</v>
      </c>
      <c r="K220" s="5">
        <v>2010</v>
      </c>
      <c r="L220" s="25">
        <v>2026</v>
      </c>
      <c r="M220" s="25" t="s">
        <v>16</v>
      </c>
    </row>
    <row r="221" spans="1:13" ht="15.75" x14ac:dyDescent="0.25">
      <c r="A221" s="25">
        <v>218</v>
      </c>
      <c r="B221" s="5">
        <v>13308</v>
      </c>
      <c r="C221" s="6" t="s">
        <v>622</v>
      </c>
      <c r="D221" s="6">
        <v>80</v>
      </c>
      <c r="E221" s="29"/>
      <c r="F221" s="25"/>
      <c r="G221" s="25">
        <f>(D221-F221)</f>
        <v>80</v>
      </c>
      <c r="H221" s="27">
        <f t="shared" si="10"/>
        <v>76</v>
      </c>
      <c r="I221" s="28">
        <f t="shared" si="11"/>
        <v>4</v>
      </c>
      <c r="J221" s="25">
        <f t="shared" si="9"/>
        <v>16</v>
      </c>
      <c r="K221" s="6">
        <v>2010</v>
      </c>
      <c r="L221" s="25">
        <v>2026</v>
      </c>
      <c r="M221" s="25" t="s">
        <v>16</v>
      </c>
    </row>
    <row r="222" spans="1:13" ht="15.75" x14ac:dyDescent="0.25">
      <c r="A222" s="25">
        <v>219</v>
      </c>
      <c r="B222" s="6">
        <v>13433</v>
      </c>
      <c r="C222" s="6" t="s">
        <v>623</v>
      </c>
      <c r="D222" s="6">
        <v>90</v>
      </c>
      <c r="E222" s="29"/>
      <c r="F222" s="25"/>
      <c r="G222" s="25">
        <f>(D222-F222)</f>
        <v>90</v>
      </c>
      <c r="H222" s="27">
        <f t="shared" si="10"/>
        <v>85.5</v>
      </c>
      <c r="I222" s="28">
        <f t="shared" si="11"/>
        <v>4.5</v>
      </c>
      <c r="J222" s="25">
        <f t="shared" si="9"/>
        <v>16</v>
      </c>
      <c r="K222" s="6">
        <v>2010</v>
      </c>
      <c r="L222" s="25">
        <v>2026</v>
      </c>
      <c r="M222" s="25" t="s">
        <v>16</v>
      </c>
    </row>
    <row r="223" spans="1:13" ht="15.75" x14ac:dyDescent="0.25">
      <c r="A223" s="25">
        <v>220</v>
      </c>
      <c r="B223" s="5">
        <v>13436</v>
      </c>
      <c r="C223" s="6" t="s">
        <v>624</v>
      </c>
      <c r="D223" s="5">
        <v>80</v>
      </c>
      <c r="E223" s="29"/>
      <c r="F223" s="25"/>
      <c r="G223" s="25">
        <f>(D223-F223)</f>
        <v>80</v>
      </c>
      <c r="H223" s="27">
        <f t="shared" si="10"/>
        <v>76</v>
      </c>
      <c r="I223" s="28">
        <f t="shared" si="11"/>
        <v>4</v>
      </c>
      <c r="J223" s="25">
        <f t="shared" si="9"/>
        <v>25</v>
      </c>
      <c r="K223" s="5">
        <v>2001</v>
      </c>
      <c r="L223" s="25">
        <v>2026</v>
      </c>
      <c r="M223" s="25" t="s">
        <v>16</v>
      </c>
    </row>
    <row r="224" spans="1:13" ht="15.75" x14ac:dyDescent="0.25">
      <c r="A224" s="25">
        <v>221</v>
      </c>
      <c r="B224" s="5">
        <v>13436</v>
      </c>
      <c r="C224" s="6" t="s">
        <v>625</v>
      </c>
      <c r="D224" s="6">
        <v>80</v>
      </c>
      <c r="E224" s="29"/>
      <c r="F224" s="25"/>
      <c r="G224" s="25">
        <f>(D224-F224)</f>
        <v>80</v>
      </c>
      <c r="H224" s="27">
        <f t="shared" si="10"/>
        <v>76</v>
      </c>
      <c r="I224" s="28">
        <f t="shared" si="11"/>
        <v>4</v>
      </c>
      <c r="J224" s="25">
        <f t="shared" si="9"/>
        <v>16</v>
      </c>
      <c r="K224" s="6">
        <v>2010</v>
      </c>
      <c r="L224" s="25">
        <v>2026</v>
      </c>
      <c r="M224" s="25" t="s">
        <v>16</v>
      </c>
    </row>
    <row r="225" spans="1:13" ht="15.75" x14ac:dyDescent="0.25">
      <c r="A225" s="25">
        <v>222</v>
      </c>
      <c r="B225" s="5">
        <v>13448</v>
      </c>
      <c r="C225" s="6" t="s">
        <v>626</v>
      </c>
      <c r="D225" s="5">
        <v>18</v>
      </c>
      <c r="E225" s="29"/>
      <c r="F225" s="25"/>
      <c r="G225" s="25">
        <f>(D225-F225)</f>
        <v>18</v>
      </c>
      <c r="H225" s="27">
        <f t="shared" si="10"/>
        <v>17.099999999999998</v>
      </c>
      <c r="I225" s="28">
        <f t="shared" si="11"/>
        <v>0.90000000000000213</v>
      </c>
      <c r="J225" s="25">
        <f t="shared" si="9"/>
        <v>16</v>
      </c>
      <c r="K225" s="5">
        <v>2010</v>
      </c>
      <c r="L225" s="25">
        <v>2026</v>
      </c>
      <c r="M225" s="25" t="s">
        <v>16</v>
      </c>
    </row>
    <row r="226" spans="1:13" ht="15.75" x14ac:dyDescent="0.25">
      <c r="A226" s="25">
        <v>223</v>
      </c>
      <c r="B226" s="5">
        <v>13451</v>
      </c>
      <c r="C226" s="6" t="s">
        <v>627</v>
      </c>
      <c r="D226" s="5">
        <v>18</v>
      </c>
      <c r="E226" s="29"/>
      <c r="F226" s="25"/>
      <c r="G226" s="25">
        <f>(D226-F226)</f>
        <v>18</v>
      </c>
      <c r="H226" s="27">
        <f t="shared" si="10"/>
        <v>17.099999999999998</v>
      </c>
      <c r="I226" s="28">
        <f t="shared" si="11"/>
        <v>0.90000000000000213</v>
      </c>
      <c r="J226" s="25">
        <f t="shared" si="9"/>
        <v>16</v>
      </c>
      <c r="K226" s="5">
        <v>2010</v>
      </c>
      <c r="L226" s="25">
        <v>2026</v>
      </c>
      <c r="M226" s="25" t="s">
        <v>16</v>
      </c>
    </row>
    <row r="227" spans="1:13" ht="15.75" x14ac:dyDescent="0.25">
      <c r="A227" s="25">
        <v>224</v>
      </c>
      <c r="B227" s="5">
        <v>13457</v>
      </c>
      <c r="C227" s="6" t="s">
        <v>628</v>
      </c>
      <c r="D227" s="6">
        <v>18</v>
      </c>
      <c r="E227" s="29"/>
      <c r="F227" s="25"/>
      <c r="G227" s="25">
        <f>(D227-F227)</f>
        <v>18</v>
      </c>
      <c r="H227" s="27">
        <f t="shared" si="10"/>
        <v>17.099999999999998</v>
      </c>
      <c r="I227" s="28">
        <f t="shared" si="11"/>
        <v>0.90000000000000213</v>
      </c>
      <c r="J227" s="25">
        <f t="shared" si="9"/>
        <v>16</v>
      </c>
      <c r="K227" s="6">
        <v>2010</v>
      </c>
      <c r="L227" s="25">
        <v>2026</v>
      </c>
      <c r="M227" s="25" t="s">
        <v>16</v>
      </c>
    </row>
    <row r="228" spans="1:13" ht="15.75" x14ac:dyDescent="0.25">
      <c r="A228" s="25">
        <v>225</v>
      </c>
      <c r="B228" s="5">
        <v>13703</v>
      </c>
      <c r="C228" s="6" t="s">
        <v>629</v>
      </c>
      <c r="D228" s="5">
        <v>125</v>
      </c>
      <c r="E228" s="29"/>
      <c r="F228" s="25"/>
      <c r="G228" s="25">
        <f>(D228-F228)</f>
        <v>125</v>
      </c>
      <c r="H228" s="27">
        <f t="shared" si="10"/>
        <v>118.75</v>
      </c>
      <c r="I228" s="28">
        <f t="shared" si="11"/>
        <v>6.25</v>
      </c>
      <c r="J228" s="25">
        <f t="shared" si="9"/>
        <v>16</v>
      </c>
      <c r="K228" s="5">
        <v>2010</v>
      </c>
      <c r="L228" s="25">
        <v>2026</v>
      </c>
      <c r="M228" s="25" t="s">
        <v>16</v>
      </c>
    </row>
    <row r="229" spans="1:13" ht="15.75" x14ac:dyDescent="0.25">
      <c r="A229" s="25">
        <v>226</v>
      </c>
      <c r="B229" s="5">
        <v>13742</v>
      </c>
      <c r="C229" s="6" t="s">
        <v>630</v>
      </c>
      <c r="D229" s="6">
        <v>20</v>
      </c>
      <c r="E229" s="29"/>
      <c r="F229" s="25"/>
      <c r="G229" s="25">
        <f>(D229-F229)</f>
        <v>20</v>
      </c>
      <c r="H229" s="27">
        <f t="shared" si="10"/>
        <v>19</v>
      </c>
      <c r="I229" s="28">
        <f t="shared" si="11"/>
        <v>1</v>
      </c>
      <c r="J229" s="25">
        <f t="shared" si="9"/>
        <v>16</v>
      </c>
      <c r="K229" s="6">
        <v>2010</v>
      </c>
      <c r="L229" s="25">
        <v>2026</v>
      </c>
      <c r="M229" s="25" t="s">
        <v>16</v>
      </c>
    </row>
    <row r="230" spans="1:13" ht="15.75" x14ac:dyDescent="0.25">
      <c r="A230" s="25">
        <v>227</v>
      </c>
      <c r="B230" s="5">
        <v>13745</v>
      </c>
      <c r="C230" s="6" t="s">
        <v>631</v>
      </c>
      <c r="D230" s="5">
        <v>20</v>
      </c>
      <c r="E230" s="29"/>
      <c r="F230" s="25"/>
      <c r="G230" s="25">
        <f>(D230-F230)</f>
        <v>20</v>
      </c>
      <c r="H230" s="27">
        <f t="shared" si="10"/>
        <v>19</v>
      </c>
      <c r="I230" s="28">
        <f t="shared" si="11"/>
        <v>1</v>
      </c>
      <c r="J230" s="25">
        <f t="shared" si="9"/>
        <v>16</v>
      </c>
      <c r="K230" s="5">
        <v>2010</v>
      </c>
      <c r="L230" s="25">
        <v>2026</v>
      </c>
      <c r="M230" s="25" t="s">
        <v>16</v>
      </c>
    </row>
    <row r="231" spans="1:13" ht="15.75" x14ac:dyDescent="0.25">
      <c r="A231" s="25">
        <v>228</v>
      </c>
      <c r="B231" s="5">
        <v>13783</v>
      </c>
      <c r="C231" s="6" t="s">
        <v>632</v>
      </c>
      <c r="D231" s="5">
        <v>20</v>
      </c>
      <c r="E231" s="29"/>
      <c r="F231" s="25"/>
      <c r="G231" s="25">
        <f>(D231-F231)</f>
        <v>20</v>
      </c>
      <c r="H231" s="27">
        <f t="shared" si="10"/>
        <v>19</v>
      </c>
      <c r="I231" s="28">
        <f t="shared" si="11"/>
        <v>1</v>
      </c>
      <c r="J231" s="25">
        <f t="shared" si="9"/>
        <v>48</v>
      </c>
      <c r="K231" s="5">
        <v>1978</v>
      </c>
      <c r="L231" s="25">
        <v>2026</v>
      </c>
      <c r="M231" s="25" t="s">
        <v>16</v>
      </c>
    </row>
    <row r="232" spans="1:13" ht="15.75" x14ac:dyDescent="0.25">
      <c r="A232" s="25">
        <v>229</v>
      </c>
      <c r="B232" s="5">
        <v>13850</v>
      </c>
      <c r="C232" s="6" t="s">
        <v>633</v>
      </c>
      <c r="D232" s="6">
        <v>35</v>
      </c>
      <c r="E232" s="29"/>
      <c r="F232" s="25"/>
      <c r="G232" s="25">
        <f>(D232-F232)</f>
        <v>35</v>
      </c>
      <c r="H232" s="27">
        <f t="shared" si="10"/>
        <v>33.25</v>
      </c>
      <c r="I232" s="28">
        <f t="shared" si="11"/>
        <v>1.75</v>
      </c>
      <c r="J232" s="25">
        <f t="shared" si="9"/>
        <v>16</v>
      </c>
      <c r="K232" s="6">
        <v>2010</v>
      </c>
      <c r="L232" s="25">
        <v>2026</v>
      </c>
      <c r="M232" s="25" t="s">
        <v>16</v>
      </c>
    </row>
    <row r="233" spans="1:13" ht="15.75" x14ac:dyDescent="0.25">
      <c r="A233" s="25">
        <v>230</v>
      </c>
      <c r="B233" s="5">
        <v>13967</v>
      </c>
      <c r="C233" s="6" t="s">
        <v>634</v>
      </c>
      <c r="D233" s="5">
        <v>25</v>
      </c>
      <c r="E233" s="29"/>
      <c r="F233" s="25"/>
      <c r="G233" s="25">
        <f>(D233-F233)</f>
        <v>25</v>
      </c>
      <c r="H233" s="27">
        <f t="shared" si="10"/>
        <v>23.75</v>
      </c>
      <c r="I233" s="28">
        <f t="shared" si="11"/>
        <v>1.25</v>
      </c>
      <c r="J233" s="25">
        <f t="shared" si="9"/>
        <v>16</v>
      </c>
      <c r="K233" s="5">
        <v>2010</v>
      </c>
      <c r="L233" s="25">
        <v>2026</v>
      </c>
      <c r="M233" s="25" t="s">
        <v>16</v>
      </c>
    </row>
    <row r="234" spans="1:13" ht="15.75" x14ac:dyDescent="0.25">
      <c r="A234" s="25">
        <v>231</v>
      </c>
      <c r="B234" s="5">
        <v>14030</v>
      </c>
      <c r="C234" s="6" t="s">
        <v>635</v>
      </c>
      <c r="D234" s="6">
        <v>25</v>
      </c>
      <c r="E234" s="29"/>
      <c r="F234" s="25"/>
      <c r="G234" s="25">
        <f>(D234-F234)</f>
        <v>25</v>
      </c>
      <c r="H234" s="27">
        <f t="shared" si="10"/>
        <v>23.75</v>
      </c>
      <c r="I234" s="28">
        <f t="shared" si="11"/>
        <v>1.25</v>
      </c>
      <c r="J234" s="25">
        <f t="shared" si="9"/>
        <v>16</v>
      </c>
      <c r="K234" s="6">
        <v>2010</v>
      </c>
      <c r="L234" s="25">
        <v>2026</v>
      </c>
      <c r="M234" s="25" t="s">
        <v>16</v>
      </c>
    </row>
    <row r="235" spans="1:13" ht="15.75" x14ac:dyDescent="0.25">
      <c r="A235" s="25">
        <v>232</v>
      </c>
      <c r="B235" s="5">
        <v>14067</v>
      </c>
      <c r="C235" s="6" t="s">
        <v>636</v>
      </c>
      <c r="D235" s="6">
        <v>25</v>
      </c>
      <c r="E235" s="29"/>
      <c r="F235" s="25"/>
      <c r="G235" s="25">
        <f>(D235-F235)</f>
        <v>25</v>
      </c>
      <c r="H235" s="27">
        <f t="shared" si="10"/>
        <v>23.75</v>
      </c>
      <c r="I235" s="28">
        <f t="shared" si="11"/>
        <v>1.25</v>
      </c>
      <c r="J235" s="25">
        <f t="shared" si="9"/>
        <v>16</v>
      </c>
      <c r="K235" s="6">
        <v>2010</v>
      </c>
      <c r="L235" s="25">
        <v>2026</v>
      </c>
      <c r="M235" s="25" t="s">
        <v>16</v>
      </c>
    </row>
    <row r="236" spans="1:13" ht="15.75" x14ac:dyDescent="0.25">
      <c r="A236" s="25">
        <v>233</v>
      </c>
      <c r="B236" s="5">
        <v>14089</v>
      </c>
      <c r="C236" s="6" t="s">
        <v>637</v>
      </c>
      <c r="D236" s="5">
        <v>25</v>
      </c>
      <c r="E236" s="29"/>
      <c r="F236" s="25"/>
      <c r="G236" s="25">
        <f>(D236-F236)</f>
        <v>25</v>
      </c>
      <c r="H236" s="27">
        <f t="shared" si="10"/>
        <v>23.75</v>
      </c>
      <c r="I236" s="28">
        <f t="shared" si="11"/>
        <v>1.25</v>
      </c>
      <c r="J236" s="25">
        <f t="shared" si="9"/>
        <v>16</v>
      </c>
      <c r="K236" s="5">
        <v>2010</v>
      </c>
      <c r="L236" s="25">
        <v>2026</v>
      </c>
      <c r="M236" s="25" t="s">
        <v>16</v>
      </c>
    </row>
    <row r="237" spans="1:13" ht="15.75" x14ac:dyDescent="0.25">
      <c r="A237" s="25">
        <v>234</v>
      </c>
      <c r="B237" s="5">
        <v>14110</v>
      </c>
      <c r="C237" s="6" t="s">
        <v>488</v>
      </c>
      <c r="D237" s="5">
        <v>40</v>
      </c>
      <c r="E237" s="29"/>
      <c r="F237" s="25"/>
      <c r="G237" s="25">
        <f>(D237-F237)</f>
        <v>40</v>
      </c>
      <c r="H237" s="27">
        <f t="shared" si="10"/>
        <v>38</v>
      </c>
      <c r="I237" s="28">
        <f t="shared" si="11"/>
        <v>2</v>
      </c>
      <c r="J237" s="25">
        <f t="shared" si="9"/>
        <v>16</v>
      </c>
      <c r="K237" s="5">
        <v>2010</v>
      </c>
      <c r="L237" s="25">
        <v>2026</v>
      </c>
      <c r="M237" s="25" t="s">
        <v>16</v>
      </c>
    </row>
    <row r="238" spans="1:13" ht="15.75" x14ac:dyDescent="0.25">
      <c r="A238" s="25">
        <v>235</v>
      </c>
      <c r="B238" s="5">
        <v>14126</v>
      </c>
      <c r="C238" s="6" t="s">
        <v>638</v>
      </c>
      <c r="D238" s="5">
        <v>40</v>
      </c>
      <c r="E238" s="29"/>
      <c r="F238" s="25"/>
      <c r="G238" s="25">
        <f>(D238-F238)</f>
        <v>40</v>
      </c>
      <c r="H238" s="27">
        <f t="shared" si="10"/>
        <v>38</v>
      </c>
      <c r="I238" s="28">
        <f t="shared" si="11"/>
        <v>2</v>
      </c>
      <c r="J238" s="25">
        <f t="shared" si="9"/>
        <v>16</v>
      </c>
      <c r="K238" s="5">
        <v>2010</v>
      </c>
      <c r="L238" s="25">
        <v>2026</v>
      </c>
      <c r="M238" s="25" t="s">
        <v>16</v>
      </c>
    </row>
    <row r="239" spans="1:13" ht="15.75" x14ac:dyDescent="0.25">
      <c r="A239" s="25">
        <v>236</v>
      </c>
      <c r="B239" s="5">
        <v>14130</v>
      </c>
      <c r="C239" s="6" t="s">
        <v>639</v>
      </c>
      <c r="D239" s="5">
        <v>40</v>
      </c>
      <c r="E239" s="29"/>
      <c r="F239" s="25"/>
      <c r="G239" s="25">
        <f>(D239-F239)</f>
        <v>40</v>
      </c>
      <c r="H239" s="27">
        <f t="shared" si="10"/>
        <v>38</v>
      </c>
      <c r="I239" s="28">
        <f t="shared" si="11"/>
        <v>2</v>
      </c>
      <c r="J239" s="25">
        <f t="shared" si="9"/>
        <v>16</v>
      </c>
      <c r="K239" s="5">
        <v>2010</v>
      </c>
      <c r="L239" s="25">
        <v>2026</v>
      </c>
      <c r="M239" s="25" t="s">
        <v>16</v>
      </c>
    </row>
    <row r="240" spans="1:13" ht="15.75" x14ac:dyDescent="0.25">
      <c r="A240" s="25">
        <v>237</v>
      </c>
      <c r="B240" s="5">
        <v>14135</v>
      </c>
      <c r="C240" s="6" t="s">
        <v>640</v>
      </c>
      <c r="D240" s="5">
        <v>40</v>
      </c>
      <c r="E240" s="29"/>
      <c r="F240" s="25"/>
      <c r="G240" s="25">
        <f>(D240-F240)</f>
        <v>40</v>
      </c>
      <c r="H240" s="27">
        <f t="shared" si="10"/>
        <v>38</v>
      </c>
      <c r="I240" s="28">
        <f t="shared" si="11"/>
        <v>2</v>
      </c>
      <c r="J240" s="25">
        <f t="shared" si="9"/>
        <v>16</v>
      </c>
      <c r="K240" s="5">
        <v>2010</v>
      </c>
      <c r="L240" s="25">
        <v>2026</v>
      </c>
      <c r="M240" s="25" t="s">
        <v>16</v>
      </c>
    </row>
    <row r="241" spans="1:13" ht="15.75" x14ac:dyDescent="0.25">
      <c r="A241" s="25">
        <v>238</v>
      </c>
      <c r="B241" s="5">
        <v>14139</v>
      </c>
      <c r="C241" s="6" t="s">
        <v>488</v>
      </c>
      <c r="D241" s="5">
        <v>40</v>
      </c>
      <c r="E241" s="29"/>
      <c r="F241" s="25"/>
      <c r="G241" s="25">
        <f>(D241-F241)</f>
        <v>40</v>
      </c>
      <c r="H241" s="27">
        <f t="shared" si="10"/>
        <v>38</v>
      </c>
      <c r="I241" s="28">
        <f t="shared" si="11"/>
        <v>2</v>
      </c>
      <c r="J241" s="25">
        <f t="shared" si="9"/>
        <v>16</v>
      </c>
      <c r="K241" s="5">
        <v>2010</v>
      </c>
      <c r="L241" s="25">
        <v>2026</v>
      </c>
      <c r="M241" s="25" t="s">
        <v>16</v>
      </c>
    </row>
    <row r="242" spans="1:13" ht="15.75" x14ac:dyDescent="0.25">
      <c r="A242" s="25">
        <v>239</v>
      </c>
      <c r="B242" s="5">
        <v>14143</v>
      </c>
      <c r="C242" s="6" t="s">
        <v>641</v>
      </c>
      <c r="D242" s="5">
        <v>40</v>
      </c>
      <c r="E242" s="29"/>
      <c r="F242" s="25"/>
      <c r="G242" s="25">
        <f>(D242-F242)</f>
        <v>40</v>
      </c>
      <c r="H242" s="27">
        <f t="shared" si="10"/>
        <v>38</v>
      </c>
      <c r="I242" s="28">
        <f t="shared" si="11"/>
        <v>2</v>
      </c>
      <c r="J242" s="25">
        <f t="shared" si="9"/>
        <v>16</v>
      </c>
      <c r="K242" s="5">
        <v>2010</v>
      </c>
      <c r="L242" s="25">
        <v>2026</v>
      </c>
      <c r="M242" s="25" t="s">
        <v>16</v>
      </c>
    </row>
    <row r="243" spans="1:13" ht="15.75" x14ac:dyDescent="0.25">
      <c r="A243" s="25">
        <v>240</v>
      </c>
      <c r="B243" s="5">
        <v>14146</v>
      </c>
      <c r="C243" s="6" t="s">
        <v>642</v>
      </c>
      <c r="D243" s="5">
        <v>40</v>
      </c>
      <c r="E243" s="29"/>
      <c r="F243" s="25"/>
      <c r="G243" s="25">
        <f>(D243-F243)</f>
        <v>40</v>
      </c>
      <c r="H243" s="27">
        <f t="shared" si="10"/>
        <v>38</v>
      </c>
      <c r="I243" s="28">
        <f t="shared" si="11"/>
        <v>2</v>
      </c>
      <c r="J243" s="25">
        <f t="shared" si="9"/>
        <v>16</v>
      </c>
      <c r="K243" s="5">
        <v>2010</v>
      </c>
      <c r="L243" s="25">
        <v>2026</v>
      </c>
      <c r="M243" s="25" t="s">
        <v>16</v>
      </c>
    </row>
    <row r="244" spans="1:13" ht="15.75" x14ac:dyDescent="0.25">
      <c r="A244" s="25">
        <v>241</v>
      </c>
      <c r="B244" s="5">
        <v>14151</v>
      </c>
      <c r="C244" s="6" t="s">
        <v>643</v>
      </c>
      <c r="D244" s="5">
        <v>40</v>
      </c>
      <c r="E244" s="29"/>
      <c r="F244" s="25"/>
      <c r="G244" s="25">
        <f>(D244-F244)</f>
        <v>40</v>
      </c>
      <c r="H244" s="27">
        <f t="shared" si="10"/>
        <v>38</v>
      </c>
      <c r="I244" s="28">
        <f t="shared" si="11"/>
        <v>2</v>
      </c>
      <c r="J244" s="25">
        <f t="shared" si="9"/>
        <v>16</v>
      </c>
      <c r="K244" s="5">
        <v>2010</v>
      </c>
      <c r="L244" s="25">
        <v>2026</v>
      </c>
      <c r="M244" s="25" t="s">
        <v>16</v>
      </c>
    </row>
    <row r="245" spans="1:13" ht="15.75" x14ac:dyDescent="0.25">
      <c r="A245" s="25">
        <v>242</v>
      </c>
      <c r="B245" s="5">
        <v>14152</v>
      </c>
      <c r="C245" s="6" t="s">
        <v>644</v>
      </c>
      <c r="D245" s="5">
        <v>40</v>
      </c>
      <c r="E245" s="29"/>
      <c r="F245" s="25"/>
      <c r="G245" s="25">
        <f>(D245-F245)</f>
        <v>40</v>
      </c>
      <c r="H245" s="27">
        <f t="shared" si="10"/>
        <v>38</v>
      </c>
      <c r="I245" s="28">
        <f t="shared" si="11"/>
        <v>2</v>
      </c>
      <c r="J245" s="25">
        <f t="shared" si="9"/>
        <v>16</v>
      </c>
      <c r="K245" s="5">
        <v>2010</v>
      </c>
      <c r="L245" s="25">
        <v>2026</v>
      </c>
      <c r="M245" s="25" t="s">
        <v>16</v>
      </c>
    </row>
    <row r="246" spans="1:13" ht="15.75" x14ac:dyDescent="0.25">
      <c r="A246" s="25">
        <v>243</v>
      </c>
      <c r="B246" s="5">
        <v>14155</v>
      </c>
      <c r="C246" s="6" t="s">
        <v>645</v>
      </c>
      <c r="D246" s="5">
        <v>40</v>
      </c>
      <c r="E246" s="29"/>
      <c r="F246" s="25"/>
      <c r="G246" s="25">
        <f>(D246-F246)</f>
        <v>40</v>
      </c>
      <c r="H246" s="27">
        <f t="shared" si="10"/>
        <v>38</v>
      </c>
      <c r="I246" s="28">
        <f t="shared" si="11"/>
        <v>2</v>
      </c>
      <c r="J246" s="25">
        <f t="shared" si="9"/>
        <v>16</v>
      </c>
      <c r="K246" s="5">
        <v>2010</v>
      </c>
      <c r="L246" s="25">
        <v>2026</v>
      </c>
      <c r="M246" s="25" t="s">
        <v>16</v>
      </c>
    </row>
    <row r="247" spans="1:13" ht="15.75" x14ac:dyDescent="0.25">
      <c r="A247" s="25">
        <v>244</v>
      </c>
      <c r="B247" s="9">
        <v>14211</v>
      </c>
      <c r="C247" s="9" t="s">
        <v>646</v>
      </c>
      <c r="D247" s="9">
        <v>125</v>
      </c>
      <c r="E247" s="29"/>
      <c r="F247" s="25"/>
      <c r="G247" s="25">
        <f>(D247-F247)</f>
        <v>125</v>
      </c>
      <c r="H247" s="27">
        <f t="shared" si="10"/>
        <v>118.75</v>
      </c>
      <c r="I247" s="28">
        <f t="shared" si="11"/>
        <v>6.25</v>
      </c>
      <c r="J247" s="25">
        <f t="shared" si="9"/>
        <v>16</v>
      </c>
      <c r="K247" s="9">
        <v>2010</v>
      </c>
      <c r="L247" s="25">
        <v>2026</v>
      </c>
      <c r="M247" s="25" t="s">
        <v>16</v>
      </c>
    </row>
    <row r="248" spans="1:13" ht="15.75" x14ac:dyDescent="0.25">
      <c r="A248" s="25">
        <v>245</v>
      </c>
      <c r="B248" s="5">
        <v>14223</v>
      </c>
      <c r="C248" s="6" t="s">
        <v>647</v>
      </c>
      <c r="D248" s="5">
        <v>50</v>
      </c>
      <c r="E248" s="29"/>
      <c r="F248" s="25"/>
      <c r="G248" s="25">
        <f>(D248-F248)</f>
        <v>50</v>
      </c>
      <c r="H248" s="27">
        <f t="shared" si="10"/>
        <v>47.5</v>
      </c>
      <c r="I248" s="28">
        <f t="shared" si="11"/>
        <v>2.5</v>
      </c>
      <c r="J248" s="25">
        <f t="shared" si="9"/>
        <v>16</v>
      </c>
      <c r="K248" s="5">
        <v>2010</v>
      </c>
      <c r="L248" s="25">
        <v>2026</v>
      </c>
      <c r="M248" s="25" t="s">
        <v>16</v>
      </c>
    </row>
    <row r="249" spans="1:13" ht="15.75" x14ac:dyDescent="0.25">
      <c r="A249" s="25">
        <v>246</v>
      </c>
      <c r="B249" s="5">
        <v>14263</v>
      </c>
      <c r="C249" s="6" t="s">
        <v>648</v>
      </c>
      <c r="D249" s="6">
        <v>30</v>
      </c>
      <c r="E249" s="29"/>
      <c r="F249" s="25"/>
      <c r="G249" s="25">
        <f>(D249-F249)</f>
        <v>30</v>
      </c>
      <c r="H249" s="27">
        <f t="shared" si="10"/>
        <v>28.5</v>
      </c>
      <c r="I249" s="28">
        <f t="shared" si="11"/>
        <v>1.5</v>
      </c>
      <c r="J249" s="25">
        <f t="shared" si="9"/>
        <v>16</v>
      </c>
      <c r="K249" s="6">
        <v>2010</v>
      </c>
      <c r="L249" s="25">
        <v>2026</v>
      </c>
      <c r="M249" s="25" t="s">
        <v>16</v>
      </c>
    </row>
    <row r="250" spans="1:13" ht="15.75" x14ac:dyDescent="0.25">
      <c r="A250" s="25">
        <v>247</v>
      </c>
      <c r="B250" s="5">
        <v>14318</v>
      </c>
      <c r="C250" s="6" t="s">
        <v>649</v>
      </c>
      <c r="D250" s="6">
        <v>180</v>
      </c>
      <c r="E250" s="29"/>
      <c r="F250" s="25"/>
      <c r="G250" s="25">
        <f>(D250-F250)</f>
        <v>180</v>
      </c>
      <c r="H250" s="27">
        <f t="shared" si="10"/>
        <v>171</v>
      </c>
      <c r="I250" s="28">
        <f t="shared" si="11"/>
        <v>9</v>
      </c>
      <c r="J250" s="25">
        <f t="shared" si="9"/>
        <v>16</v>
      </c>
      <c r="K250" s="6">
        <v>2010</v>
      </c>
      <c r="L250" s="25">
        <v>2026</v>
      </c>
      <c r="M250" s="25" t="s">
        <v>16</v>
      </c>
    </row>
    <row r="251" spans="1:13" ht="15.75" x14ac:dyDescent="0.25">
      <c r="A251" s="25">
        <v>248</v>
      </c>
      <c r="B251" s="5">
        <v>14324</v>
      </c>
      <c r="C251" s="6" t="s">
        <v>650</v>
      </c>
      <c r="D251" s="5">
        <v>170</v>
      </c>
      <c r="E251" s="29"/>
      <c r="F251" s="25"/>
      <c r="G251" s="25">
        <f>(D251-F251)</f>
        <v>170</v>
      </c>
      <c r="H251" s="27">
        <f t="shared" si="10"/>
        <v>161.5</v>
      </c>
      <c r="I251" s="28">
        <f t="shared" si="11"/>
        <v>8.5</v>
      </c>
      <c r="J251" s="25">
        <f t="shared" si="9"/>
        <v>16</v>
      </c>
      <c r="K251" s="5">
        <v>2010</v>
      </c>
      <c r="L251" s="25">
        <v>2026</v>
      </c>
      <c r="M251" s="25" t="s">
        <v>16</v>
      </c>
    </row>
    <row r="252" spans="1:13" ht="15.75" x14ac:dyDescent="0.25">
      <c r="A252" s="25">
        <v>249</v>
      </c>
      <c r="B252" s="5">
        <v>14336</v>
      </c>
      <c r="C252" s="6" t="s">
        <v>651</v>
      </c>
      <c r="D252" s="5">
        <v>25</v>
      </c>
      <c r="E252" s="29"/>
      <c r="F252" s="25"/>
      <c r="G252" s="25">
        <f>(D252-F252)</f>
        <v>25</v>
      </c>
      <c r="H252" s="27">
        <f t="shared" si="10"/>
        <v>23.75</v>
      </c>
      <c r="I252" s="28">
        <f t="shared" si="11"/>
        <v>1.25</v>
      </c>
      <c r="J252" s="25">
        <f t="shared" si="9"/>
        <v>16</v>
      </c>
      <c r="K252" s="5">
        <v>2010</v>
      </c>
      <c r="L252" s="25">
        <v>2026</v>
      </c>
      <c r="M252" s="25" t="s">
        <v>16</v>
      </c>
    </row>
    <row r="253" spans="1:13" ht="15.75" x14ac:dyDescent="0.25">
      <c r="A253" s="25">
        <v>250</v>
      </c>
      <c r="B253" s="9">
        <v>14409</v>
      </c>
      <c r="C253" s="9" t="s">
        <v>652</v>
      </c>
      <c r="D253" s="9">
        <v>125</v>
      </c>
      <c r="E253" s="29"/>
      <c r="F253" s="25"/>
      <c r="G253" s="25">
        <f>(D253-F253)</f>
        <v>125</v>
      </c>
      <c r="H253" s="27">
        <f t="shared" si="10"/>
        <v>118.75</v>
      </c>
      <c r="I253" s="28">
        <f t="shared" si="11"/>
        <v>6.25</v>
      </c>
      <c r="J253" s="25">
        <f t="shared" si="9"/>
        <v>16</v>
      </c>
      <c r="K253" s="9">
        <v>2010</v>
      </c>
      <c r="L253" s="25">
        <v>2026</v>
      </c>
      <c r="M253" s="25" t="s">
        <v>16</v>
      </c>
    </row>
    <row r="254" spans="1:13" ht="15.75" x14ac:dyDescent="0.25">
      <c r="A254" s="25">
        <v>251</v>
      </c>
      <c r="B254" s="9">
        <v>14419</v>
      </c>
      <c r="C254" s="9" t="s">
        <v>653</v>
      </c>
      <c r="D254" s="9">
        <v>175</v>
      </c>
      <c r="E254" s="29"/>
      <c r="F254" s="25"/>
      <c r="G254" s="25">
        <f>(D254-F254)</f>
        <v>175</v>
      </c>
      <c r="H254" s="27">
        <f t="shared" si="10"/>
        <v>166.25</v>
      </c>
      <c r="I254" s="28">
        <f t="shared" si="11"/>
        <v>8.75</v>
      </c>
      <c r="J254" s="25">
        <f t="shared" si="9"/>
        <v>16</v>
      </c>
      <c r="K254" s="9">
        <v>2010</v>
      </c>
      <c r="L254" s="25">
        <v>2026</v>
      </c>
      <c r="M254" s="25" t="s">
        <v>16</v>
      </c>
    </row>
    <row r="255" spans="1:13" ht="15.75" x14ac:dyDescent="0.25">
      <c r="A255" s="25">
        <v>252</v>
      </c>
      <c r="B255" s="5">
        <v>14464</v>
      </c>
      <c r="C255" s="6" t="s">
        <v>648</v>
      </c>
      <c r="D255" s="6">
        <v>30</v>
      </c>
      <c r="E255" s="29"/>
      <c r="F255" s="25"/>
      <c r="G255" s="25">
        <f>(D255-F255)</f>
        <v>30</v>
      </c>
      <c r="H255" s="27">
        <f t="shared" si="10"/>
        <v>28.5</v>
      </c>
      <c r="I255" s="28">
        <f t="shared" si="11"/>
        <v>1.5</v>
      </c>
      <c r="J255" s="25">
        <f t="shared" si="9"/>
        <v>16</v>
      </c>
      <c r="K255" s="5">
        <v>2010</v>
      </c>
      <c r="L255" s="25">
        <v>2026</v>
      </c>
      <c r="M255" s="25" t="s">
        <v>16</v>
      </c>
    </row>
    <row r="256" spans="1:13" ht="15.75" x14ac:dyDescent="0.25">
      <c r="A256" s="25">
        <v>253</v>
      </c>
      <c r="B256" s="5">
        <v>14465</v>
      </c>
      <c r="C256" s="6" t="s">
        <v>648</v>
      </c>
      <c r="D256" s="6">
        <v>30</v>
      </c>
      <c r="E256" s="29"/>
      <c r="F256" s="25"/>
      <c r="G256" s="25">
        <f>(D256-F256)</f>
        <v>30</v>
      </c>
      <c r="H256" s="27">
        <f t="shared" si="10"/>
        <v>28.5</v>
      </c>
      <c r="I256" s="28">
        <f t="shared" si="11"/>
        <v>1.5</v>
      </c>
      <c r="J256" s="25">
        <f t="shared" si="9"/>
        <v>16</v>
      </c>
      <c r="K256" s="9">
        <v>2010</v>
      </c>
      <c r="L256" s="25">
        <v>2026</v>
      </c>
      <c r="M256" s="25" t="s">
        <v>16</v>
      </c>
    </row>
    <row r="257" spans="1:13" ht="15.75" x14ac:dyDescent="0.25">
      <c r="A257" s="25">
        <v>254</v>
      </c>
      <c r="B257" s="6">
        <v>14481</v>
      </c>
      <c r="C257" s="6" t="s">
        <v>654</v>
      </c>
      <c r="D257" s="6">
        <v>40</v>
      </c>
      <c r="E257" s="29"/>
      <c r="F257" s="25"/>
      <c r="G257" s="25">
        <f>(D257-F257)</f>
        <v>40</v>
      </c>
      <c r="H257" s="27">
        <f t="shared" si="10"/>
        <v>38</v>
      </c>
      <c r="I257" s="28">
        <f t="shared" si="11"/>
        <v>2</v>
      </c>
      <c r="J257" s="25">
        <f t="shared" si="9"/>
        <v>16</v>
      </c>
      <c r="K257" s="6">
        <v>2010</v>
      </c>
      <c r="L257" s="25">
        <v>2026</v>
      </c>
      <c r="M257" s="25" t="s">
        <v>16</v>
      </c>
    </row>
    <row r="258" spans="1:13" ht="15.75" x14ac:dyDescent="0.25">
      <c r="A258" s="25">
        <v>255</v>
      </c>
      <c r="B258" s="5">
        <v>14492</v>
      </c>
      <c r="C258" s="6" t="s">
        <v>655</v>
      </c>
      <c r="D258" s="5">
        <v>40</v>
      </c>
      <c r="E258" s="29"/>
      <c r="F258" s="25"/>
      <c r="G258" s="25">
        <f>(D258-F258)</f>
        <v>40</v>
      </c>
      <c r="H258" s="27">
        <f t="shared" si="10"/>
        <v>38</v>
      </c>
      <c r="I258" s="28">
        <f t="shared" si="11"/>
        <v>2</v>
      </c>
      <c r="J258" s="25">
        <f t="shared" si="9"/>
        <v>16</v>
      </c>
      <c r="K258" s="5">
        <v>2010</v>
      </c>
      <c r="L258" s="25">
        <v>2026</v>
      </c>
      <c r="M258" s="25" t="s">
        <v>16</v>
      </c>
    </row>
    <row r="259" spans="1:13" ht="15.75" x14ac:dyDescent="0.25">
      <c r="A259" s="25">
        <v>256</v>
      </c>
      <c r="B259" s="5">
        <v>14500</v>
      </c>
      <c r="C259" s="6" t="s">
        <v>656</v>
      </c>
      <c r="D259" s="5">
        <v>45</v>
      </c>
      <c r="E259" s="29"/>
      <c r="F259" s="25"/>
      <c r="G259" s="25">
        <f>(D259-F259)</f>
        <v>45</v>
      </c>
      <c r="H259" s="27">
        <f t="shared" si="10"/>
        <v>42.75</v>
      </c>
      <c r="I259" s="28">
        <f t="shared" si="11"/>
        <v>2.25</v>
      </c>
      <c r="J259" s="25">
        <f t="shared" si="9"/>
        <v>16</v>
      </c>
      <c r="K259" s="5">
        <v>2010</v>
      </c>
      <c r="L259" s="25">
        <v>2026</v>
      </c>
      <c r="M259" s="25" t="s">
        <v>16</v>
      </c>
    </row>
    <row r="260" spans="1:13" ht="15.75" x14ac:dyDescent="0.25">
      <c r="A260" s="25">
        <v>257</v>
      </c>
      <c r="B260" s="5">
        <v>14511</v>
      </c>
      <c r="C260" s="6" t="s">
        <v>657</v>
      </c>
      <c r="D260" s="5">
        <v>40</v>
      </c>
      <c r="E260" s="29"/>
      <c r="F260" s="25"/>
      <c r="G260" s="25">
        <f>(D260-F260)</f>
        <v>40</v>
      </c>
      <c r="H260" s="27">
        <f t="shared" si="10"/>
        <v>38</v>
      </c>
      <c r="I260" s="28">
        <f t="shared" si="11"/>
        <v>2</v>
      </c>
      <c r="J260" s="25">
        <f t="shared" ref="J260:J323" si="12">(L260-K260)</f>
        <v>16</v>
      </c>
      <c r="K260" s="5">
        <v>2010</v>
      </c>
      <c r="L260" s="25">
        <v>2026</v>
      </c>
      <c r="M260" s="25" t="s">
        <v>16</v>
      </c>
    </row>
    <row r="261" spans="1:13" ht="15.75" x14ac:dyDescent="0.25">
      <c r="A261" s="25">
        <v>258</v>
      </c>
      <c r="B261" s="5">
        <v>14519</v>
      </c>
      <c r="C261" s="6" t="s">
        <v>658</v>
      </c>
      <c r="D261" s="6">
        <v>40</v>
      </c>
      <c r="E261" s="29"/>
      <c r="F261" s="25"/>
      <c r="G261" s="25">
        <f>(D261-F261)</f>
        <v>40</v>
      </c>
      <c r="H261" s="27">
        <f t="shared" ref="H261:H323" si="13">(G261*0.95)</f>
        <v>38</v>
      </c>
      <c r="I261" s="28">
        <f t="shared" ref="I261:I323" si="14">(G261-H261)</f>
        <v>2</v>
      </c>
      <c r="J261" s="25">
        <f t="shared" si="12"/>
        <v>16</v>
      </c>
      <c r="K261" s="6">
        <v>2010</v>
      </c>
      <c r="L261" s="25">
        <v>2026</v>
      </c>
      <c r="M261" s="25" t="s">
        <v>16</v>
      </c>
    </row>
    <row r="262" spans="1:13" ht="15.75" x14ac:dyDescent="0.25">
      <c r="A262" s="25">
        <v>259</v>
      </c>
      <c r="B262" s="5">
        <v>14541</v>
      </c>
      <c r="C262" s="6" t="s">
        <v>659</v>
      </c>
      <c r="D262" s="5">
        <v>40</v>
      </c>
      <c r="E262" s="29"/>
      <c r="F262" s="25"/>
      <c r="G262" s="25">
        <f>(D262-F262)</f>
        <v>40</v>
      </c>
      <c r="H262" s="27">
        <f t="shared" si="13"/>
        <v>38</v>
      </c>
      <c r="I262" s="28">
        <f t="shared" si="14"/>
        <v>2</v>
      </c>
      <c r="J262" s="25">
        <f t="shared" si="12"/>
        <v>16</v>
      </c>
      <c r="K262" s="5">
        <v>2010</v>
      </c>
      <c r="L262" s="25">
        <v>2026</v>
      </c>
      <c r="M262" s="25" t="s">
        <v>16</v>
      </c>
    </row>
    <row r="263" spans="1:13" ht="15.75" x14ac:dyDescent="0.25">
      <c r="A263" s="25">
        <v>260</v>
      </c>
      <c r="B263" s="5">
        <v>14581</v>
      </c>
      <c r="C263" s="6" t="s">
        <v>660</v>
      </c>
      <c r="D263" s="5">
        <v>40</v>
      </c>
      <c r="E263" s="29"/>
      <c r="F263" s="25"/>
      <c r="G263" s="25">
        <f>(D263-F263)</f>
        <v>40</v>
      </c>
      <c r="H263" s="27">
        <f t="shared" si="13"/>
        <v>38</v>
      </c>
      <c r="I263" s="28">
        <f t="shared" si="14"/>
        <v>2</v>
      </c>
      <c r="J263" s="25">
        <f t="shared" si="12"/>
        <v>16</v>
      </c>
      <c r="K263" s="5">
        <v>2010</v>
      </c>
      <c r="L263" s="25">
        <v>2026</v>
      </c>
      <c r="M263" s="25" t="s">
        <v>16</v>
      </c>
    </row>
    <row r="264" spans="1:13" ht="15.75" x14ac:dyDescent="0.25">
      <c r="A264" s="25">
        <v>261</v>
      </c>
      <c r="B264" s="6">
        <v>14583</v>
      </c>
      <c r="C264" s="6" t="s">
        <v>659</v>
      </c>
      <c r="D264" s="6">
        <v>40</v>
      </c>
      <c r="E264" s="29"/>
      <c r="F264" s="25"/>
      <c r="G264" s="25">
        <f>(D264-F264)</f>
        <v>40</v>
      </c>
      <c r="H264" s="27">
        <f t="shared" si="13"/>
        <v>38</v>
      </c>
      <c r="I264" s="28">
        <f t="shared" si="14"/>
        <v>2</v>
      </c>
      <c r="J264" s="25">
        <f t="shared" si="12"/>
        <v>16</v>
      </c>
      <c r="K264" s="6">
        <v>2010</v>
      </c>
      <c r="L264" s="25">
        <v>2026</v>
      </c>
      <c r="M264" s="25" t="s">
        <v>16</v>
      </c>
    </row>
    <row r="265" spans="1:13" ht="15.75" x14ac:dyDescent="0.25">
      <c r="A265" s="25">
        <v>262</v>
      </c>
      <c r="B265" s="5">
        <v>14586</v>
      </c>
      <c r="C265" s="6" t="s">
        <v>661</v>
      </c>
      <c r="D265" s="6">
        <v>40</v>
      </c>
      <c r="E265" s="29"/>
      <c r="F265" s="25"/>
      <c r="G265" s="25">
        <f>(D265-F265)</f>
        <v>40</v>
      </c>
      <c r="H265" s="27">
        <f t="shared" si="13"/>
        <v>38</v>
      </c>
      <c r="I265" s="28">
        <f t="shared" si="14"/>
        <v>2</v>
      </c>
      <c r="J265" s="25">
        <f t="shared" si="12"/>
        <v>16</v>
      </c>
      <c r="K265" s="6">
        <v>2010</v>
      </c>
      <c r="L265" s="25">
        <v>2026</v>
      </c>
      <c r="M265" s="25" t="s">
        <v>16</v>
      </c>
    </row>
    <row r="266" spans="1:13" ht="15.75" x14ac:dyDescent="0.25">
      <c r="A266" s="25">
        <v>263</v>
      </c>
      <c r="B266" s="5">
        <v>14593</v>
      </c>
      <c r="C266" s="6" t="s">
        <v>661</v>
      </c>
      <c r="D266" s="6">
        <v>40</v>
      </c>
      <c r="E266" s="29"/>
      <c r="F266" s="29"/>
      <c r="G266" s="25">
        <f>(D266-F266)</f>
        <v>40</v>
      </c>
      <c r="H266" s="27">
        <f t="shared" si="13"/>
        <v>38</v>
      </c>
      <c r="I266" s="28">
        <f t="shared" si="14"/>
        <v>2</v>
      </c>
      <c r="J266" s="25">
        <f t="shared" si="12"/>
        <v>16</v>
      </c>
      <c r="K266" s="6">
        <v>2010</v>
      </c>
      <c r="L266" s="25">
        <v>2026</v>
      </c>
      <c r="M266" s="25" t="s">
        <v>16</v>
      </c>
    </row>
    <row r="267" spans="1:13" ht="15.75" x14ac:dyDescent="0.25">
      <c r="A267" s="25">
        <v>264</v>
      </c>
      <c r="B267" s="5">
        <v>14597</v>
      </c>
      <c r="C267" s="6" t="s">
        <v>661</v>
      </c>
      <c r="D267" s="6">
        <v>40</v>
      </c>
      <c r="E267" s="29"/>
      <c r="F267" s="25"/>
      <c r="G267" s="25">
        <f>(D267-F267)</f>
        <v>40</v>
      </c>
      <c r="H267" s="27">
        <f t="shared" si="13"/>
        <v>38</v>
      </c>
      <c r="I267" s="28">
        <f t="shared" si="14"/>
        <v>2</v>
      </c>
      <c r="J267" s="25">
        <f t="shared" si="12"/>
        <v>16</v>
      </c>
      <c r="K267" s="6">
        <v>2010</v>
      </c>
      <c r="L267" s="25">
        <v>2026</v>
      </c>
      <c r="M267" s="25" t="s">
        <v>16</v>
      </c>
    </row>
    <row r="268" spans="1:13" ht="15.75" x14ac:dyDescent="0.25">
      <c r="A268" s="25">
        <v>265</v>
      </c>
      <c r="B268" s="5">
        <v>14599</v>
      </c>
      <c r="C268" s="6" t="s">
        <v>662</v>
      </c>
      <c r="D268" s="6">
        <v>40</v>
      </c>
      <c r="E268" s="29"/>
      <c r="F268" s="25"/>
      <c r="G268" s="25">
        <f>(D268-F268)</f>
        <v>40</v>
      </c>
      <c r="H268" s="27">
        <f t="shared" si="13"/>
        <v>38</v>
      </c>
      <c r="I268" s="28">
        <f t="shared" si="14"/>
        <v>2</v>
      </c>
      <c r="J268" s="25">
        <f t="shared" si="12"/>
        <v>16</v>
      </c>
      <c r="K268" s="6">
        <v>2010</v>
      </c>
      <c r="L268" s="25">
        <v>2026</v>
      </c>
      <c r="M268" s="25" t="s">
        <v>16</v>
      </c>
    </row>
    <row r="269" spans="1:13" ht="15.75" x14ac:dyDescent="0.25">
      <c r="A269" s="25">
        <v>266</v>
      </c>
      <c r="B269" s="5">
        <v>14603</v>
      </c>
      <c r="C269" s="6" t="s">
        <v>662</v>
      </c>
      <c r="D269" s="6">
        <v>40</v>
      </c>
      <c r="E269" s="29"/>
      <c r="F269" s="25"/>
      <c r="G269" s="25">
        <f>(D269-F269)</f>
        <v>40</v>
      </c>
      <c r="H269" s="27">
        <f t="shared" si="13"/>
        <v>38</v>
      </c>
      <c r="I269" s="28">
        <f t="shared" si="14"/>
        <v>2</v>
      </c>
      <c r="J269" s="25">
        <f t="shared" si="12"/>
        <v>16</v>
      </c>
      <c r="K269" s="6">
        <v>2010</v>
      </c>
      <c r="L269" s="25">
        <v>2026</v>
      </c>
      <c r="M269" s="25" t="s">
        <v>16</v>
      </c>
    </row>
    <row r="270" spans="1:13" ht="15.75" x14ac:dyDescent="0.25">
      <c r="A270" s="25">
        <v>267</v>
      </c>
      <c r="B270" s="5">
        <v>14615</v>
      </c>
      <c r="C270" s="6" t="s">
        <v>661</v>
      </c>
      <c r="D270" s="5">
        <v>40</v>
      </c>
      <c r="E270" s="29"/>
      <c r="F270" s="25"/>
      <c r="G270" s="25">
        <f>(D270-F270)</f>
        <v>40</v>
      </c>
      <c r="H270" s="27">
        <f t="shared" si="13"/>
        <v>38</v>
      </c>
      <c r="I270" s="28">
        <f t="shared" si="14"/>
        <v>2</v>
      </c>
      <c r="J270" s="25">
        <f t="shared" si="12"/>
        <v>16</v>
      </c>
      <c r="K270" s="5">
        <v>2010</v>
      </c>
      <c r="L270" s="25">
        <v>2026</v>
      </c>
      <c r="M270" s="25" t="s">
        <v>16</v>
      </c>
    </row>
    <row r="271" spans="1:13" ht="15.75" x14ac:dyDescent="0.25">
      <c r="A271" s="25">
        <v>268</v>
      </c>
      <c r="B271" s="5">
        <v>14627</v>
      </c>
      <c r="C271" s="6" t="s">
        <v>662</v>
      </c>
      <c r="D271" s="6">
        <v>40</v>
      </c>
      <c r="E271" s="29"/>
      <c r="F271" s="25"/>
      <c r="G271" s="25">
        <f>(D271-F271)</f>
        <v>40</v>
      </c>
      <c r="H271" s="27">
        <f t="shared" si="13"/>
        <v>38</v>
      </c>
      <c r="I271" s="28">
        <f t="shared" si="14"/>
        <v>2</v>
      </c>
      <c r="J271" s="25">
        <f t="shared" si="12"/>
        <v>16</v>
      </c>
      <c r="K271" s="6">
        <v>2010</v>
      </c>
      <c r="L271" s="25">
        <v>2026</v>
      </c>
      <c r="M271" s="25" t="s">
        <v>16</v>
      </c>
    </row>
    <row r="272" spans="1:13" ht="15.75" x14ac:dyDescent="0.25">
      <c r="A272" s="25">
        <v>269</v>
      </c>
      <c r="B272" s="5">
        <v>14652</v>
      </c>
      <c r="C272" s="6" t="s">
        <v>663</v>
      </c>
      <c r="D272" s="5">
        <v>45</v>
      </c>
      <c r="E272" s="29"/>
      <c r="F272" s="25"/>
      <c r="G272" s="25">
        <f>(D272-F272)</f>
        <v>45</v>
      </c>
      <c r="H272" s="27">
        <f t="shared" si="13"/>
        <v>42.75</v>
      </c>
      <c r="I272" s="28">
        <f t="shared" si="14"/>
        <v>2.25</v>
      </c>
      <c r="J272" s="25">
        <f t="shared" si="12"/>
        <v>16</v>
      </c>
      <c r="K272" s="5">
        <v>2010</v>
      </c>
      <c r="L272" s="25">
        <v>2026</v>
      </c>
      <c r="M272" s="25" t="s">
        <v>16</v>
      </c>
    </row>
    <row r="273" spans="1:13" ht="15.75" x14ac:dyDescent="0.25">
      <c r="A273" s="25">
        <v>270</v>
      </c>
      <c r="B273" s="5">
        <v>14691</v>
      </c>
      <c r="C273" s="6" t="s">
        <v>664</v>
      </c>
      <c r="D273" s="5">
        <v>60</v>
      </c>
      <c r="E273" s="29"/>
      <c r="F273" s="25"/>
      <c r="G273" s="25">
        <f>(D273-F273)</f>
        <v>60</v>
      </c>
      <c r="H273" s="27">
        <f t="shared" si="13"/>
        <v>57</v>
      </c>
      <c r="I273" s="28">
        <f t="shared" si="14"/>
        <v>3</v>
      </c>
      <c r="J273" s="25">
        <f t="shared" si="12"/>
        <v>16</v>
      </c>
      <c r="K273" s="5">
        <v>2010</v>
      </c>
      <c r="L273" s="25">
        <v>2026</v>
      </c>
      <c r="M273" s="25" t="s">
        <v>16</v>
      </c>
    </row>
    <row r="274" spans="1:13" ht="15.75" x14ac:dyDescent="0.25">
      <c r="A274" s="25">
        <v>271</v>
      </c>
      <c r="B274" s="5">
        <v>14694</v>
      </c>
      <c r="C274" s="6" t="s">
        <v>665</v>
      </c>
      <c r="D274" s="6">
        <v>25</v>
      </c>
      <c r="E274" s="29"/>
      <c r="F274" s="25"/>
      <c r="G274" s="25">
        <f>(D274-F274)</f>
        <v>25</v>
      </c>
      <c r="H274" s="27">
        <f t="shared" si="13"/>
        <v>23.75</v>
      </c>
      <c r="I274" s="28">
        <f t="shared" si="14"/>
        <v>1.25</v>
      </c>
      <c r="J274" s="25">
        <f t="shared" si="12"/>
        <v>16</v>
      </c>
      <c r="K274" s="6">
        <v>2010</v>
      </c>
      <c r="L274" s="25">
        <v>2026</v>
      </c>
      <c r="M274" s="25" t="s">
        <v>16</v>
      </c>
    </row>
    <row r="275" spans="1:13" ht="15.75" x14ac:dyDescent="0.25">
      <c r="A275" s="25">
        <v>272</v>
      </c>
      <c r="B275" s="5">
        <v>14755</v>
      </c>
      <c r="C275" s="6" t="s">
        <v>666</v>
      </c>
      <c r="D275" s="6">
        <v>40</v>
      </c>
      <c r="E275" s="29"/>
      <c r="F275" s="25"/>
      <c r="G275" s="25">
        <f>(D275-F275)</f>
        <v>40</v>
      </c>
      <c r="H275" s="27">
        <f t="shared" si="13"/>
        <v>38</v>
      </c>
      <c r="I275" s="28">
        <f t="shared" si="14"/>
        <v>2</v>
      </c>
      <c r="J275" s="25">
        <f t="shared" si="12"/>
        <v>16</v>
      </c>
      <c r="K275" s="6">
        <v>2010</v>
      </c>
      <c r="L275" s="25">
        <v>2026</v>
      </c>
      <c r="M275" s="25" t="s">
        <v>16</v>
      </c>
    </row>
    <row r="276" spans="1:13" ht="15.75" x14ac:dyDescent="0.25">
      <c r="A276" s="25">
        <v>273</v>
      </c>
      <c r="B276" s="5">
        <v>14756</v>
      </c>
      <c r="C276" s="6" t="s">
        <v>666</v>
      </c>
      <c r="D276" s="6">
        <v>40</v>
      </c>
      <c r="E276" s="29"/>
      <c r="F276" s="25"/>
      <c r="G276" s="25">
        <f>(D276-F276)</f>
        <v>40</v>
      </c>
      <c r="H276" s="27">
        <f t="shared" si="13"/>
        <v>38</v>
      </c>
      <c r="I276" s="28">
        <f t="shared" si="14"/>
        <v>2</v>
      </c>
      <c r="J276" s="25">
        <f t="shared" si="12"/>
        <v>16</v>
      </c>
      <c r="K276" s="6">
        <v>2010</v>
      </c>
      <c r="L276" s="25">
        <v>2026</v>
      </c>
      <c r="M276" s="25" t="s">
        <v>16</v>
      </c>
    </row>
    <row r="277" spans="1:13" ht="15.75" x14ac:dyDescent="0.25">
      <c r="A277" s="25">
        <v>274</v>
      </c>
      <c r="B277" s="9">
        <v>14761</v>
      </c>
      <c r="C277" s="9" t="s">
        <v>667</v>
      </c>
      <c r="D277" s="9">
        <v>40</v>
      </c>
      <c r="E277" s="29"/>
      <c r="F277" s="25"/>
      <c r="G277" s="25">
        <f>(D277-F277)</f>
        <v>40</v>
      </c>
      <c r="H277" s="27">
        <f t="shared" si="13"/>
        <v>38</v>
      </c>
      <c r="I277" s="28">
        <f t="shared" si="14"/>
        <v>2</v>
      </c>
      <c r="J277" s="25">
        <f t="shared" si="12"/>
        <v>16</v>
      </c>
      <c r="K277" s="9">
        <v>2010</v>
      </c>
      <c r="L277" s="25">
        <v>2026</v>
      </c>
      <c r="M277" s="25" t="s">
        <v>16</v>
      </c>
    </row>
    <row r="278" spans="1:13" ht="15.75" x14ac:dyDescent="0.25">
      <c r="A278" s="25">
        <v>275</v>
      </c>
      <c r="B278" s="5">
        <v>14762</v>
      </c>
      <c r="C278" s="6" t="s">
        <v>668</v>
      </c>
      <c r="D278" s="5">
        <v>40</v>
      </c>
      <c r="E278" s="29"/>
      <c r="F278" s="25"/>
      <c r="G278" s="25">
        <f>(D278-F278)</f>
        <v>40</v>
      </c>
      <c r="H278" s="27">
        <f t="shared" si="13"/>
        <v>38</v>
      </c>
      <c r="I278" s="28">
        <f t="shared" si="14"/>
        <v>2</v>
      </c>
      <c r="J278" s="25">
        <f t="shared" si="12"/>
        <v>16</v>
      </c>
      <c r="K278" s="5">
        <v>2010</v>
      </c>
      <c r="L278" s="25">
        <v>2026</v>
      </c>
      <c r="M278" s="25" t="s">
        <v>16</v>
      </c>
    </row>
    <row r="279" spans="1:13" ht="15.75" x14ac:dyDescent="0.25">
      <c r="A279" s="25">
        <v>276</v>
      </c>
      <c r="B279" s="5">
        <v>14773</v>
      </c>
      <c r="C279" s="6" t="s">
        <v>667</v>
      </c>
      <c r="D279" s="6">
        <v>40</v>
      </c>
      <c r="E279" s="29"/>
      <c r="F279" s="25"/>
      <c r="G279" s="25">
        <f>(D279-F279)</f>
        <v>40</v>
      </c>
      <c r="H279" s="27">
        <f t="shared" si="13"/>
        <v>38</v>
      </c>
      <c r="I279" s="28">
        <f t="shared" si="14"/>
        <v>2</v>
      </c>
      <c r="J279" s="25">
        <f t="shared" si="12"/>
        <v>16</v>
      </c>
      <c r="K279" s="6">
        <v>2010</v>
      </c>
      <c r="L279" s="25">
        <v>2026</v>
      </c>
      <c r="M279" s="25" t="s">
        <v>16</v>
      </c>
    </row>
    <row r="280" spans="1:13" ht="15.75" x14ac:dyDescent="0.25">
      <c r="A280" s="25">
        <v>277</v>
      </c>
      <c r="B280" s="5">
        <v>14788</v>
      </c>
      <c r="C280" s="6" t="s">
        <v>669</v>
      </c>
      <c r="D280" s="5">
        <v>75</v>
      </c>
      <c r="E280" s="29"/>
      <c r="F280" s="25"/>
      <c r="G280" s="25">
        <f>(D280-F280)</f>
        <v>75</v>
      </c>
      <c r="H280" s="27">
        <f t="shared" si="13"/>
        <v>71.25</v>
      </c>
      <c r="I280" s="28">
        <f t="shared" si="14"/>
        <v>3.75</v>
      </c>
      <c r="J280" s="25">
        <f t="shared" si="12"/>
        <v>16</v>
      </c>
      <c r="K280" s="5">
        <v>2010</v>
      </c>
      <c r="L280" s="25">
        <v>2026</v>
      </c>
      <c r="M280" s="25" t="s">
        <v>16</v>
      </c>
    </row>
    <row r="281" spans="1:13" ht="15.75" x14ac:dyDescent="0.25">
      <c r="A281" s="25">
        <v>278</v>
      </c>
      <c r="B281" s="6">
        <v>14802</v>
      </c>
      <c r="C281" s="6" t="s">
        <v>670</v>
      </c>
      <c r="D281" s="6">
        <v>75</v>
      </c>
      <c r="E281" s="29"/>
      <c r="F281" s="25"/>
      <c r="G281" s="25">
        <f>(D281-F281)</f>
        <v>75</v>
      </c>
      <c r="H281" s="27">
        <f t="shared" si="13"/>
        <v>71.25</v>
      </c>
      <c r="I281" s="28">
        <f t="shared" si="14"/>
        <v>3.75</v>
      </c>
      <c r="J281" s="25">
        <f t="shared" si="12"/>
        <v>16</v>
      </c>
      <c r="K281" s="6">
        <v>2010</v>
      </c>
      <c r="L281" s="25">
        <v>2026</v>
      </c>
      <c r="M281" s="25" t="s">
        <v>16</v>
      </c>
    </row>
    <row r="282" spans="1:13" ht="15.75" x14ac:dyDescent="0.25">
      <c r="A282" s="25">
        <v>279</v>
      </c>
      <c r="B282" s="6">
        <v>14830</v>
      </c>
      <c r="C282" s="6" t="s">
        <v>671</v>
      </c>
      <c r="D282" s="6">
        <v>75</v>
      </c>
      <c r="E282" s="29"/>
      <c r="F282" s="25"/>
      <c r="G282" s="25">
        <f>(D282-F282)</f>
        <v>75</v>
      </c>
      <c r="H282" s="27">
        <f t="shared" si="13"/>
        <v>71.25</v>
      </c>
      <c r="I282" s="28">
        <f t="shared" si="14"/>
        <v>3.75</v>
      </c>
      <c r="J282" s="25">
        <f t="shared" si="12"/>
        <v>16</v>
      </c>
      <c r="K282" s="6">
        <v>2010</v>
      </c>
      <c r="L282" s="25">
        <v>2026</v>
      </c>
      <c r="M282" s="25" t="s">
        <v>16</v>
      </c>
    </row>
    <row r="283" spans="1:13" ht="15.75" x14ac:dyDescent="0.25">
      <c r="A283" s="25">
        <v>280</v>
      </c>
      <c r="B283" s="5">
        <v>14842</v>
      </c>
      <c r="C283" s="6" t="s">
        <v>672</v>
      </c>
      <c r="D283" s="5">
        <v>75</v>
      </c>
      <c r="E283" s="29"/>
      <c r="F283" s="25"/>
      <c r="G283" s="25">
        <f>(D283-F283)</f>
        <v>75</v>
      </c>
      <c r="H283" s="27">
        <f t="shared" si="13"/>
        <v>71.25</v>
      </c>
      <c r="I283" s="28">
        <f t="shared" si="14"/>
        <v>3.75</v>
      </c>
      <c r="J283" s="25">
        <f t="shared" si="12"/>
        <v>16</v>
      </c>
      <c r="K283" s="5">
        <v>2010</v>
      </c>
      <c r="L283" s="25">
        <v>2026</v>
      </c>
      <c r="M283" s="25" t="s">
        <v>16</v>
      </c>
    </row>
    <row r="284" spans="1:13" ht="15.75" x14ac:dyDescent="0.25">
      <c r="A284" s="25">
        <v>281</v>
      </c>
      <c r="B284" s="5">
        <v>14862</v>
      </c>
      <c r="C284" s="6" t="s">
        <v>673</v>
      </c>
      <c r="D284" s="6">
        <v>40</v>
      </c>
      <c r="E284" s="29"/>
      <c r="F284" s="25"/>
      <c r="G284" s="25">
        <f>(D284-F284)</f>
        <v>40</v>
      </c>
      <c r="H284" s="27">
        <f t="shared" si="13"/>
        <v>38</v>
      </c>
      <c r="I284" s="28">
        <f t="shared" si="14"/>
        <v>2</v>
      </c>
      <c r="J284" s="25">
        <f t="shared" si="12"/>
        <v>16</v>
      </c>
      <c r="K284" s="6">
        <v>2010</v>
      </c>
      <c r="L284" s="25">
        <v>2026</v>
      </c>
      <c r="M284" s="25" t="s">
        <v>16</v>
      </c>
    </row>
    <row r="285" spans="1:13" ht="15.75" x14ac:dyDescent="0.25">
      <c r="A285" s="25">
        <v>282</v>
      </c>
      <c r="B285" s="5">
        <v>14865</v>
      </c>
      <c r="C285" s="6" t="s">
        <v>674</v>
      </c>
      <c r="D285" s="5">
        <v>40</v>
      </c>
      <c r="E285" s="29"/>
      <c r="F285" s="25"/>
      <c r="G285" s="25">
        <f>(D285-F285)</f>
        <v>40</v>
      </c>
      <c r="H285" s="27">
        <f t="shared" si="13"/>
        <v>38</v>
      </c>
      <c r="I285" s="28">
        <f t="shared" si="14"/>
        <v>2</v>
      </c>
      <c r="J285" s="25">
        <f t="shared" si="12"/>
        <v>16</v>
      </c>
      <c r="K285" s="5">
        <v>2010</v>
      </c>
      <c r="L285" s="25">
        <v>2026</v>
      </c>
      <c r="M285" s="25" t="s">
        <v>16</v>
      </c>
    </row>
    <row r="286" spans="1:13" ht="15.75" x14ac:dyDescent="0.25">
      <c r="A286" s="25">
        <v>283</v>
      </c>
      <c r="B286" s="5">
        <v>14868</v>
      </c>
      <c r="C286" s="6" t="s">
        <v>675</v>
      </c>
      <c r="D286" s="5">
        <v>40</v>
      </c>
      <c r="E286" s="29"/>
      <c r="F286" s="25"/>
      <c r="G286" s="25">
        <f>(D286-F286)</f>
        <v>40</v>
      </c>
      <c r="H286" s="27">
        <f t="shared" si="13"/>
        <v>38</v>
      </c>
      <c r="I286" s="28">
        <f t="shared" si="14"/>
        <v>2</v>
      </c>
      <c r="J286" s="25">
        <f t="shared" si="12"/>
        <v>16</v>
      </c>
      <c r="K286" s="5">
        <v>2010</v>
      </c>
      <c r="L286" s="25">
        <v>2026</v>
      </c>
      <c r="M286" s="25" t="s">
        <v>16</v>
      </c>
    </row>
    <row r="287" spans="1:13" ht="15.75" x14ac:dyDescent="0.25">
      <c r="A287" s="25">
        <v>284</v>
      </c>
      <c r="B287" s="5">
        <v>14915</v>
      </c>
      <c r="C287" s="6" t="s">
        <v>676</v>
      </c>
      <c r="D287" s="5">
        <v>50</v>
      </c>
      <c r="E287" s="29"/>
      <c r="F287" s="25"/>
      <c r="G287" s="25">
        <f>(D287-F287)</f>
        <v>50</v>
      </c>
      <c r="H287" s="27">
        <f t="shared" si="13"/>
        <v>47.5</v>
      </c>
      <c r="I287" s="28">
        <f t="shared" si="14"/>
        <v>2.5</v>
      </c>
      <c r="J287" s="25">
        <f t="shared" si="12"/>
        <v>16</v>
      </c>
      <c r="K287" s="5">
        <v>2010</v>
      </c>
      <c r="L287" s="25">
        <v>2026</v>
      </c>
      <c r="M287" s="25" t="s">
        <v>16</v>
      </c>
    </row>
    <row r="288" spans="1:13" ht="15.75" x14ac:dyDescent="0.25">
      <c r="A288" s="25">
        <v>285</v>
      </c>
      <c r="B288" s="5">
        <v>15033</v>
      </c>
      <c r="C288" s="6" t="s">
        <v>677</v>
      </c>
      <c r="D288" s="5">
        <v>100</v>
      </c>
      <c r="E288" s="29"/>
      <c r="F288" s="25"/>
      <c r="G288" s="25">
        <f>(D288-F288)</f>
        <v>100</v>
      </c>
      <c r="H288" s="27">
        <f t="shared" si="13"/>
        <v>95</v>
      </c>
      <c r="I288" s="28">
        <f t="shared" si="14"/>
        <v>5</v>
      </c>
      <c r="J288" s="25">
        <f t="shared" si="12"/>
        <v>16</v>
      </c>
      <c r="K288" s="5">
        <v>2010</v>
      </c>
      <c r="L288" s="25">
        <v>2026</v>
      </c>
      <c r="M288" s="25" t="s">
        <v>16</v>
      </c>
    </row>
    <row r="289" spans="1:13" ht="15.75" x14ac:dyDescent="0.25">
      <c r="A289" s="25">
        <v>286</v>
      </c>
      <c r="B289" s="5">
        <v>15038</v>
      </c>
      <c r="C289" s="6" t="s">
        <v>678</v>
      </c>
      <c r="D289" s="5">
        <v>95</v>
      </c>
      <c r="E289" s="29"/>
      <c r="F289" s="25"/>
      <c r="G289" s="25">
        <f>(D289-F289)</f>
        <v>95</v>
      </c>
      <c r="H289" s="27">
        <f t="shared" si="13"/>
        <v>90.25</v>
      </c>
      <c r="I289" s="28">
        <f t="shared" si="14"/>
        <v>4.75</v>
      </c>
      <c r="J289" s="25">
        <f t="shared" si="12"/>
        <v>16</v>
      </c>
      <c r="K289" s="5">
        <v>2010</v>
      </c>
      <c r="L289" s="25">
        <v>2026</v>
      </c>
      <c r="M289" s="25" t="s">
        <v>16</v>
      </c>
    </row>
    <row r="290" spans="1:13" ht="15.75" x14ac:dyDescent="0.25">
      <c r="A290" s="25">
        <v>287</v>
      </c>
      <c r="B290" s="5">
        <v>15039</v>
      </c>
      <c r="C290" s="6" t="s">
        <v>679</v>
      </c>
      <c r="D290" s="5">
        <v>120</v>
      </c>
      <c r="E290" s="29"/>
      <c r="F290" s="25"/>
      <c r="G290" s="25">
        <f>(D290-F290)</f>
        <v>120</v>
      </c>
      <c r="H290" s="27">
        <f t="shared" si="13"/>
        <v>114</v>
      </c>
      <c r="I290" s="28">
        <f t="shared" si="14"/>
        <v>6</v>
      </c>
      <c r="J290" s="25">
        <f t="shared" si="12"/>
        <v>16</v>
      </c>
      <c r="K290" s="5">
        <v>2010</v>
      </c>
      <c r="L290" s="25">
        <v>2026</v>
      </c>
      <c r="M290" s="25" t="s">
        <v>16</v>
      </c>
    </row>
    <row r="291" spans="1:13" ht="15.75" x14ac:dyDescent="0.25">
      <c r="A291" s="25">
        <v>288</v>
      </c>
      <c r="B291" s="5">
        <v>15191</v>
      </c>
      <c r="C291" s="6" t="s">
        <v>680</v>
      </c>
      <c r="D291" s="6">
        <v>99</v>
      </c>
      <c r="E291" s="29"/>
      <c r="F291" s="25"/>
      <c r="G291" s="25">
        <f>(D291-F291)</f>
        <v>99</v>
      </c>
      <c r="H291" s="27">
        <f t="shared" si="13"/>
        <v>94.05</v>
      </c>
      <c r="I291" s="28">
        <f t="shared" si="14"/>
        <v>4.9500000000000028</v>
      </c>
      <c r="J291" s="25">
        <f t="shared" si="12"/>
        <v>16</v>
      </c>
      <c r="K291" s="6">
        <v>2010</v>
      </c>
      <c r="L291" s="25">
        <v>2026</v>
      </c>
      <c r="M291" s="25" t="s">
        <v>16</v>
      </c>
    </row>
    <row r="292" spans="1:13" ht="15.75" x14ac:dyDescent="0.25">
      <c r="A292" s="25">
        <v>289</v>
      </c>
      <c r="B292" s="5">
        <v>15200</v>
      </c>
      <c r="C292" s="6" t="s">
        <v>681</v>
      </c>
      <c r="D292" s="6">
        <v>99</v>
      </c>
      <c r="E292" s="29"/>
      <c r="F292" s="25"/>
      <c r="G292" s="25">
        <f>(D292-F292)</f>
        <v>99</v>
      </c>
      <c r="H292" s="27">
        <f t="shared" si="13"/>
        <v>94.05</v>
      </c>
      <c r="I292" s="28">
        <f t="shared" si="14"/>
        <v>4.9500000000000028</v>
      </c>
      <c r="J292" s="25">
        <f t="shared" si="12"/>
        <v>15</v>
      </c>
      <c r="K292" s="6">
        <v>2011</v>
      </c>
      <c r="L292" s="25">
        <v>2026</v>
      </c>
      <c r="M292" s="25" t="s">
        <v>16</v>
      </c>
    </row>
    <row r="293" spans="1:13" ht="15.75" x14ac:dyDescent="0.25">
      <c r="A293" s="25">
        <v>290</v>
      </c>
      <c r="B293" s="5">
        <v>15227</v>
      </c>
      <c r="C293" s="6" t="s">
        <v>682</v>
      </c>
      <c r="D293" s="6">
        <v>99</v>
      </c>
      <c r="E293" s="29"/>
      <c r="F293" s="25"/>
      <c r="G293" s="25">
        <f>(D293-F293)</f>
        <v>99</v>
      </c>
      <c r="H293" s="27">
        <f t="shared" si="13"/>
        <v>94.05</v>
      </c>
      <c r="I293" s="28">
        <f t="shared" si="14"/>
        <v>4.9500000000000028</v>
      </c>
      <c r="J293" s="25">
        <f t="shared" si="12"/>
        <v>15</v>
      </c>
      <c r="K293" s="6">
        <v>2011</v>
      </c>
      <c r="L293" s="25">
        <v>2026</v>
      </c>
      <c r="M293" s="25" t="s">
        <v>16</v>
      </c>
    </row>
    <row r="294" spans="1:13" ht="15.75" x14ac:dyDescent="0.25">
      <c r="A294" s="25">
        <v>291</v>
      </c>
      <c r="B294" s="6">
        <v>15261</v>
      </c>
      <c r="C294" s="6" t="s">
        <v>683</v>
      </c>
      <c r="D294" s="6">
        <v>149</v>
      </c>
      <c r="E294" s="29"/>
      <c r="F294" s="25"/>
      <c r="G294" s="25">
        <f>(D294-F294)</f>
        <v>149</v>
      </c>
      <c r="H294" s="27">
        <f t="shared" si="13"/>
        <v>141.54999999999998</v>
      </c>
      <c r="I294" s="28">
        <f t="shared" si="14"/>
        <v>7.4500000000000171</v>
      </c>
      <c r="J294" s="25">
        <f t="shared" si="12"/>
        <v>15</v>
      </c>
      <c r="K294" s="6">
        <v>2011</v>
      </c>
      <c r="L294" s="25">
        <v>2026</v>
      </c>
      <c r="M294" s="25" t="s">
        <v>16</v>
      </c>
    </row>
    <row r="295" spans="1:13" ht="15.75" x14ac:dyDescent="0.25">
      <c r="A295" s="25">
        <v>292</v>
      </c>
      <c r="B295" s="5">
        <v>15269</v>
      </c>
      <c r="C295" s="6" t="s">
        <v>684</v>
      </c>
      <c r="D295" s="6">
        <v>99</v>
      </c>
      <c r="E295" s="29"/>
      <c r="F295" s="25"/>
      <c r="G295" s="25">
        <f>(D295-F295)</f>
        <v>99</v>
      </c>
      <c r="H295" s="27">
        <f t="shared" si="13"/>
        <v>94.05</v>
      </c>
      <c r="I295" s="28">
        <f t="shared" si="14"/>
        <v>4.9500000000000028</v>
      </c>
      <c r="J295" s="25">
        <f t="shared" si="12"/>
        <v>15</v>
      </c>
      <c r="K295" s="6">
        <v>2011</v>
      </c>
      <c r="L295" s="25">
        <v>2026</v>
      </c>
      <c r="M295" s="25" t="s">
        <v>16</v>
      </c>
    </row>
    <row r="296" spans="1:13" ht="15.75" x14ac:dyDescent="0.25">
      <c r="A296" s="25">
        <v>293</v>
      </c>
      <c r="B296" s="5">
        <v>15283</v>
      </c>
      <c r="C296" s="6" t="s">
        <v>685</v>
      </c>
      <c r="D296" s="5">
        <v>90</v>
      </c>
      <c r="E296" s="29"/>
      <c r="F296" s="25"/>
      <c r="G296" s="25">
        <f>(D296-F296)</f>
        <v>90</v>
      </c>
      <c r="H296" s="27">
        <f t="shared" si="13"/>
        <v>85.5</v>
      </c>
      <c r="I296" s="28">
        <f t="shared" si="14"/>
        <v>4.5</v>
      </c>
      <c r="J296" s="25">
        <f t="shared" si="12"/>
        <v>15</v>
      </c>
      <c r="K296" s="5">
        <v>2011</v>
      </c>
      <c r="L296" s="25">
        <v>2026</v>
      </c>
      <c r="M296" s="25" t="s">
        <v>16</v>
      </c>
    </row>
    <row r="297" spans="1:13" ht="15.75" x14ac:dyDescent="0.25">
      <c r="A297" s="25">
        <v>294</v>
      </c>
      <c r="B297" s="5">
        <v>15296</v>
      </c>
      <c r="C297" s="6" t="s">
        <v>686</v>
      </c>
      <c r="D297" s="5">
        <v>140</v>
      </c>
      <c r="E297" s="29"/>
      <c r="F297" s="25"/>
      <c r="G297" s="25">
        <f>(D297-F297)</f>
        <v>140</v>
      </c>
      <c r="H297" s="27">
        <f t="shared" si="13"/>
        <v>133</v>
      </c>
      <c r="I297" s="28">
        <f t="shared" si="14"/>
        <v>7</v>
      </c>
      <c r="J297" s="25">
        <f t="shared" si="12"/>
        <v>15</v>
      </c>
      <c r="K297" s="5">
        <v>2011</v>
      </c>
      <c r="L297" s="25">
        <v>2026</v>
      </c>
      <c r="M297" s="25" t="s">
        <v>16</v>
      </c>
    </row>
    <row r="298" spans="1:13" ht="15.75" x14ac:dyDescent="0.25">
      <c r="A298" s="25">
        <v>295</v>
      </c>
      <c r="B298" s="5">
        <v>15511</v>
      </c>
      <c r="C298" s="6" t="s">
        <v>687</v>
      </c>
      <c r="D298" s="5">
        <v>100</v>
      </c>
      <c r="E298" s="29"/>
      <c r="F298" s="25"/>
      <c r="G298" s="25">
        <f>(D298-F298)</f>
        <v>100</v>
      </c>
      <c r="H298" s="27">
        <f t="shared" si="13"/>
        <v>95</v>
      </c>
      <c r="I298" s="28">
        <f t="shared" si="14"/>
        <v>5</v>
      </c>
      <c r="J298" s="25">
        <f t="shared" si="12"/>
        <v>14</v>
      </c>
      <c r="K298" s="5">
        <v>2012</v>
      </c>
      <c r="L298" s="25">
        <v>2026</v>
      </c>
      <c r="M298" s="25" t="s">
        <v>16</v>
      </c>
    </row>
    <row r="299" spans="1:13" ht="15.75" x14ac:dyDescent="0.25">
      <c r="A299" s="25">
        <v>296</v>
      </c>
      <c r="B299" s="5">
        <v>15513</v>
      </c>
      <c r="C299" s="6" t="s">
        <v>688</v>
      </c>
      <c r="D299" s="5">
        <v>50</v>
      </c>
      <c r="E299" s="29"/>
      <c r="F299" s="25"/>
      <c r="G299" s="25">
        <f>(D299-F299)</f>
        <v>50</v>
      </c>
      <c r="H299" s="27">
        <f t="shared" si="13"/>
        <v>47.5</v>
      </c>
      <c r="I299" s="28">
        <f t="shared" si="14"/>
        <v>2.5</v>
      </c>
      <c r="J299" s="25">
        <f t="shared" si="12"/>
        <v>16</v>
      </c>
      <c r="K299" s="5">
        <v>2010</v>
      </c>
      <c r="L299" s="25">
        <v>2026</v>
      </c>
      <c r="M299" s="25" t="s">
        <v>16</v>
      </c>
    </row>
    <row r="300" spans="1:13" ht="15.75" x14ac:dyDescent="0.25">
      <c r="A300" s="25">
        <v>297</v>
      </c>
      <c r="B300" s="5">
        <v>15515</v>
      </c>
      <c r="C300" s="6" t="s">
        <v>689</v>
      </c>
      <c r="D300" s="5">
        <v>100</v>
      </c>
      <c r="E300" s="29"/>
      <c r="F300" s="25"/>
      <c r="G300" s="25">
        <f>(D300-F300)</f>
        <v>100</v>
      </c>
      <c r="H300" s="27">
        <f t="shared" si="13"/>
        <v>95</v>
      </c>
      <c r="I300" s="28">
        <f t="shared" si="14"/>
        <v>5</v>
      </c>
      <c r="J300" s="25">
        <f t="shared" si="12"/>
        <v>15</v>
      </c>
      <c r="K300" s="5">
        <v>2011</v>
      </c>
      <c r="L300" s="25">
        <v>2026</v>
      </c>
      <c r="M300" s="25" t="s">
        <v>16</v>
      </c>
    </row>
    <row r="301" spans="1:13" ht="15.75" x14ac:dyDescent="0.25">
      <c r="A301" s="25">
        <v>298</v>
      </c>
      <c r="B301" s="5">
        <v>15656</v>
      </c>
      <c r="C301" s="6" t="s">
        <v>431</v>
      </c>
      <c r="D301" s="5">
        <v>40</v>
      </c>
      <c r="E301" s="29"/>
      <c r="F301" s="25"/>
      <c r="G301" s="25">
        <f>(D301-F301)</f>
        <v>40</v>
      </c>
      <c r="H301" s="27">
        <f t="shared" si="13"/>
        <v>38</v>
      </c>
      <c r="I301" s="28">
        <f t="shared" si="14"/>
        <v>2</v>
      </c>
      <c r="J301" s="25">
        <f t="shared" si="12"/>
        <v>15</v>
      </c>
      <c r="K301" s="5">
        <v>2011</v>
      </c>
      <c r="L301" s="25">
        <v>2026</v>
      </c>
      <c r="M301" s="25" t="s">
        <v>16</v>
      </c>
    </row>
    <row r="302" spans="1:13" ht="15.75" x14ac:dyDescent="0.25">
      <c r="A302" s="25">
        <v>299</v>
      </c>
      <c r="B302" s="5">
        <v>15660</v>
      </c>
      <c r="C302" s="6" t="s">
        <v>690</v>
      </c>
      <c r="D302" s="5">
        <v>40</v>
      </c>
      <c r="E302" s="29"/>
      <c r="F302" s="25"/>
      <c r="G302" s="25">
        <f>(D302-F302)</f>
        <v>40</v>
      </c>
      <c r="H302" s="27">
        <f t="shared" si="13"/>
        <v>38</v>
      </c>
      <c r="I302" s="28">
        <f t="shared" si="14"/>
        <v>2</v>
      </c>
      <c r="J302" s="25">
        <f t="shared" si="12"/>
        <v>15</v>
      </c>
      <c r="K302" s="5">
        <v>2011</v>
      </c>
      <c r="L302" s="25">
        <v>2026</v>
      </c>
      <c r="M302" s="25" t="s">
        <v>16</v>
      </c>
    </row>
    <row r="303" spans="1:13" ht="15.75" x14ac:dyDescent="0.25">
      <c r="A303" s="25">
        <v>300</v>
      </c>
      <c r="B303" s="5">
        <v>15661</v>
      </c>
      <c r="C303" s="6" t="s">
        <v>691</v>
      </c>
      <c r="D303" s="5">
        <v>40</v>
      </c>
      <c r="E303" s="29"/>
      <c r="F303" s="25"/>
      <c r="G303" s="25">
        <f>(D303-F303)</f>
        <v>40</v>
      </c>
      <c r="H303" s="27">
        <f t="shared" si="13"/>
        <v>38</v>
      </c>
      <c r="I303" s="28">
        <f t="shared" si="14"/>
        <v>2</v>
      </c>
      <c r="J303" s="25">
        <f t="shared" si="12"/>
        <v>15</v>
      </c>
      <c r="K303" s="5">
        <v>2011</v>
      </c>
      <c r="L303" s="25">
        <v>2026</v>
      </c>
      <c r="M303" s="25" t="s">
        <v>16</v>
      </c>
    </row>
    <row r="304" spans="1:13" ht="15.75" x14ac:dyDescent="0.25">
      <c r="A304" s="25">
        <v>301</v>
      </c>
      <c r="B304" s="5">
        <v>15667</v>
      </c>
      <c r="C304" s="6" t="s">
        <v>692</v>
      </c>
      <c r="D304" s="5">
        <v>40</v>
      </c>
      <c r="E304" s="29"/>
      <c r="F304" s="25"/>
      <c r="G304" s="25">
        <f>(D304-F304)</f>
        <v>40</v>
      </c>
      <c r="H304" s="27">
        <f t="shared" si="13"/>
        <v>38</v>
      </c>
      <c r="I304" s="28">
        <f t="shared" si="14"/>
        <v>2</v>
      </c>
      <c r="J304" s="25">
        <f t="shared" si="12"/>
        <v>15</v>
      </c>
      <c r="K304" s="5">
        <v>2011</v>
      </c>
      <c r="L304" s="25">
        <v>2026</v>
      </c>
      <c r="M304" s="25" t="s">
        <v>16</v>
      </c>
    </row>
    <row r="305" spans="1:13" ht="15.75" x14ac:dyDescent="0.25">
      <c r="A305" s="25">
        <v>302</v>
      </c>
      <c r="B305" s="5">
        <v>15673</v>
      </c>
      <c r="C305" s="6" t="s">
        <v>497</v>
      </c>
      <c r="D305" s="6">
        <v>40</v>
      </c>
      <c r="E305" s="29"/>
      <c r="F305" s="25"/>
      <c r="G305" s="25">
        <f>(D305-F305)</f>
        <v>40</v>
      </c>
      <c r="H305" s="27">
        <f t="shared" si="13"/>
        <v>38</v>
      </c>
      <c r="I305" s="28">
        <f t="shared" si="14"/>
        <v>2</v>
      </c>
      <c r="J305" s="25">
        <f t="shared" si="12"/>
        <v>15</v>
      </c>
      <c r="K305" s="6">
        <v>2011</v>
      </c>
      <c r="L305" s="25">
        <v>2026</v>
      </c>
      <c r="M305" s="25" t="s">
        <v>16</v>
      </c>
    </row>
    <row r="306" spans="1:13" ht="15.75" x14ac:dyDescent="0.25">
      <c r="A306" s="25">
        <v>303</v>
      </c>
      <c r="B306" s="5">
        <v>15719</v>
      </c>
      <c r="C306" s="6" t="s">
        <v>693</v>
      </c>
      <c r="D306" s="6">
        <v>50</v>
      </c>
      <c r="E306" s="29"/>
      <c r="F306" s="25"/>
      <c r="G306" s="25">
        <f>(D306-F306)</f>
        <v>50</v>
      </c>
      <c r="H306" s="27">
        <f t="shared" si="13"/>
        <v>47.5</v>
      </c>
      <c r="I306" s="28">
        <f t="shared" si="14"/>
        <v>2.5</v>
      </c>
      <c r="J306" s="25">
        <f t="shared" si="12"/>
        <v>15</v>
      </c>
      <c r="K306" s="6">
        <v>2011</v>
      </c>
      <c r="L306" s="25">
        <v>2026</v>
      </c>
      <c r="M306" s="25" t="s">
        <v>16</v>
      </c>
    </row>
    <row r="307" spans="1:13" ht="15.75" x14ac:dyDescent="0.25">
      <c r="A307" s="25">
        <v>304</v>
      </c>
      <c r="B307" s="5">
        <v>15738</v>
      </c>
      <c r="C307" s="6" t="s">
        <v>694</v>
      </c>
      <c r="D307" s="6">
        <v>50</v>
      </c>
      <c r="E307" s="29"/>
      <c r="F307" s="25"/>
      <c r="G307" s="25">
        <f>(D307-F307)</f>
        <v>50</v>
      </c>
      <c r="H307" s="27">
        <f t="shared" si="13"/>
        <v>47.5</v>
      </c>
      <c r="I307" s="28">
        <f t="shared" si="14"/>
        <v>2.5</v>
      </c>
      <c r="J307" s="25">
        <f t="shared" si="12"/>
        <v>15</v>
      </c>
      <c r="K307" s="6">
        <v>2011</v>
      </c>
      <c r="L307" s="25">
        <v>2026</v>
      </c>
      <c r="M307" s="25" t="s">
        <v>16</v>
      </c>
    </row>
    <row r="308" spans="1:13" ht="15.75" x14ac:dyDescent="0.25">
      <c r="A308" s="25">
        <v>305</v>
      </c>
      <c r="B308" s="5">
        <v>15769</v>
      </c>
      <c r="C308" s="6" t="s">
        <v>695</v>
      </c>
      <c r="D308" s="6">
        <v>50</v>
      </c>
      <c r="E308" s="29"/>
      <c r="F308" s="25"/>
      <c r="G308" s="25">
        <f>(D308-F308)</f>
        <v>50</v>
      </c>
      <c r="H308" s="27">
        <f t="shared" si="13"/>
        <v>47.5</v>
      </c>
      <c r="I308" s="28">
        <f t="shared" si="14"/>
        <v>2.5</v>
      </c>
      <c r="J308" s="25">
        <f t="shared" si="12"/>
        <v>15</v>
      </c>
      <c r="K308" s="6">
        <v>2011</v>
      </c>
      <c r="L308" s="25">
        <v>2026</v>
      </c>
      <c r="M308" s="25" t="s">
        <v>16</v>
      </c>
    </row>
    <row r="309" spans="1:13" ht="15.75" x14ac:dyDescent="0.25">
      <c r="A309" s="25">
        <v>306</v>
      </c>
      <c r="B309" s="5">
        <v>15780</v>
      </c>
      <c r="C309" s="6" t="s">
        <v>696</v>
      </c>
      <c r="D309" s="6">
        <v>50</v>
      </c>
      <c r="E309" s="29"/>
      <c r="F309" s="25"/>
      <c r="G309" s="25">
        <f>(D309-F309)</f>
        <v>50</v>
      </c>
      <c r="H309" s="27">
        <f t="shared" si="13"/>
        <v>47.5</v>
      </c>
      <c r="I309" s="28">
        <f t="shared" si="14"/>
        <v>2.5</v>
      </c>
      <c r="J309" s="25">
        <f t="shared" si="12"/>
        <v>15</v>
      </c>
      <c r="K309" s="6">
        <v>2011</v>
      </c>
      <c r="L309" s="25">
        <v>2026</v>
      </c>
      <c r="M309" s="25" t="s">
        <v>16</v>
      </c>
    </row>
    <row r="310" spans="1:13" ht="15.75" x14ac:dyDescent="0.25">
      <c r="A310" s="25">
        <v>307</v>
      </c>
      <c r="B310" s="5">
        <v>15782</v>
      </c>
      <c r="C310" s="6" t="s">
        <v>697</v>
      </c>
      <c r="D310" s="6">
        <v>50</v>
      </c>
      <c r="E310" s="29"/>
      <c r="F310" s="25"/>
      <c r="G310" s="25">
        <f>(D310-F310)</f>
        <v>50</v>
      </c>
      <c r="H310" s="27">
        <f t="shared" si="13"/>
        <v>47.5</v>
      </c>
      <c r="I310" s="28">
        <f t="shared" si="14"/>
        <v>2.5</v>
      </c>
      <c r="J310" s="25">
        <f t="shared" si="12"/>
        <v>15</v>
      </c>
      <c r="K310" s="6">
        <v>2011</v>
      </c>
      <c r="L310" s="25">
        <v>2026</v>
      </c>
      <c r="M310" s="25" t="s">
        <v>16</v>
      </c>
    </row>
    <row r="311" spans="1:13" ht="15.75" x14ac:dyDescent="0.25">
      <c r="A311" s="25">
        <v>308</v>
      </c>
      <c r="B311" s="5">
        <v>15853</v>
      </c>
      <c r="C311" s="6" t="s">
        <v>698</v>
      </c>
      <c r="D311" s="6">
        <v>70</v>
      </c>
      <c r="E311" s="29"/>
      <c r="F311" s="25"/>
      <c r="G311" s="25">
        <f>(D311-F311)</f>
        <v>70</v>
      </c>
      <c r="H311" s="27">
        <f t="shared" si="13"/>
        <v>66.5</v>
      </c>
      <c r="I311" s="28">
        <f t="shared" si="14"/>
        <v>3.5</v>
      </c>
      <c r="J311" s="25">
        <f t="shared" si="12"/>
        <v>15</v>
      </c>
      <c r="K311" s="6">
        <v>2011</v>
      </c>
      <c r="L311" s="25">
        <v>2026</v>
      </c>
      <c r="M311" s="25" t="s">
        <v>16</v>
      </c>
    </row>
    <row r="312" spans="1:13" ht="15.75" x14ac:dyDescent="0.25">
      <c r="A312" s="25">
        <v>309</v>
      </c>
      <c r="B312" s="9">
        <v>15912</v>
      </c>
      <c r="C312" s="9" t="s">
        <v>699</v>
      </c>
      <c r="D312" s="9">
        <v>70</v>
      </c>
      <c r="E312" s="29"/>
      <c r="F312" s="25"/>
      <c r="G312" s="25">
        <f>(D312-F312)</f>
        <v>70</v>
      </c>
      <c r="H312" s="27">
        <f t="shared" si="13"/>
        <v>66.5</v>
      </c>
      <c r="I312" s="28">
        <f t="shared" si="14"/>
        <v>3.5</v>
      </c>
      <c r="J312" s="25">
        <f t="shared" si="12"/>
        <v>25</v>
      </c>
      <c r="K312" s="9">
        <v>2001</v>
      </c>
      <c r="L312" s="25">
        <v>2026</v>
      </c>
      <c r="M312" s="25" t="s">
        <v>16</v>
      </c>
    </row>
    <row r="313" spans="1:13" ht="15.75" x14ac:dyDescent="0.25">
      <c r="A313" s="25">
        <v>310</v>
      </c>
      <c r="B313" s="5">
        <v>15927</v>
      </c>
      <c r="C313" s="6" t="s">
        <v>700</v>
      </c>
      <c r="D313" s="6">
        <v>85</v>
      </c>
      <c r="E313" s="29"/>
      <c r="F313" s="25"/>
      <c r="G313" s="25">
        <f>(D313-F313)</f>
        <v>85</v>
      </c>
      <c r="H313" s="27">
        <f t="shared" si="13"/>
        <v>80.75</v>
      </c>
      <c r="I313" s="28">
        <f t="shared" si="14"/>
        <v>4.25</v>
      </c>
      <c r="J313" s="25">
        <f t="shared" si="12"/>
        <v>15</v>
      </c>
      <c r="K313" s="6">
        <v>2011</v>
      </c>
      <c r="L313" s="25">
        <v>2026</v>
      </c>
      <c r="M313" s="25" t="s">
        <v>16</v>
      </c>
    </row>
    <row r="314" spans="1:13" ht="15.75" x14ac:dyDescent="0.25">
      <c r="A314" s="25">
        <v>311</v>
      </c>
      <c r="B314" s="5">
        <v>15929</v>
      </c>
      <c r="C314" s="6" t="s">
        <v>701</v>
      </c>
      <c r="D314" s="6">
        <v>70</v>
      </c>
      <c r="E314" s="29"/>
      <c r="F314" s="25"/>
      <c r="G314" s="25">
        <f>(D314-F314)</f>
        <v>70</v>
      </c>
      <c r="H314" s="27">
        <f t="shared" si="13"/>
        <v>66.5</v>
      </c>
      <c r="I314" s="28">
        <f t="shared" si="14"/>
        <v>3.5</v>
      </c>
      <c r="J314" s="25">
        <f t="shared" si="12"/>
        <v>15</v>
      </c>
      <c r="K314" s="5">
        <v>2011</v>
      </c>
      <c r="L314" s="25">
        <v>2026</v>
      </c>
      <c r="M314" s="25" t="s">
        <v>16</v>
      </c>
    </row>
    <row r="315" spans="1:13" ht="15.75" x14ac:dyDescent="0.25">
      <c r="A315" s="25">
        <v>312</v>
      </c>
      <c r="B315" s="5">
        <v>15930</v>
      </c>
      <c r="C315" s="6" t="s">
        <v>702</v>
      </c>
      <c r="D315" s="6">
        <v>3900</v>
      </c>
      <c r="E315" s="29"/>
      <c r="F315" s="25"/>
      <c r="G315" s="25">
        <f>(D315-F315)</f>
        <v>3900</v>
      </c>
      <c r="H315" s="27">
        <f t="shared" si="13"/>
        <v>3705</v>
      </c>
      <c r="I315" s="28">
        <f t="shared" si="14"/>
        <v>195</v>
      </c>
      <c r="J315" s="25">
        <f t="shared" si="12"/>
        <v>15</v>
      </c>
      <c r="K315" s="6">
        <v>2011</v>
      </c>
      <c r="L315" s="25">
        <v>2026</v>
      </c>
      <c r="M315" s="25" t="s">
        <v>16</v>
      </c>
    </row>
    <row r="316" spans="1:13" ht="15.75" x14ac:dyDescent="0.25">
      <c r="A316" s="25">
        <v>313</v>
      </c>
      <c r="B316" s="5">
        <v>15934</v>
      </c>
      <c r="C316" s="6" t="s">
        <v>703</v>
      </c>
      <c r="D316" s="6">
        <v>150</v>
      </c>
      <c r="E316" s="29"/>
      <c r="F316" s="25"/>
      <c r="G316" s="25">
        <f>(D316-F316)</f>
        <v>150</v>
      </c>
      <c r="H316" s="27">
        <f t="shared" si="13"/>
        <v>142.5</v>
      </c>
      <c r="I316" s="28">
        <f t="shared" si="14"/>
        <v>7.5</v>
      </c>
      <c r="J316" s="25">
        <f t="shared" si="12"/>
        <v>25</v>
      </c>
      <c r="K316" s="6">
        <v>2001</v>
      </c>
      <c r="L316" s="25">
        <v>2026</v>
      </c>
      <c r="M316" s="25" t="s">
        <v>16</v>
      </c>
    </row>
    <row r="317" spans="1:13" ht="15.75" x14ac:dyDescent="0.25">
      <c r="A317" s="25">
        <v>314</v>
      </c>
      <c r="B317" s="5">
        <v>15961</v>
      </c>
      <c r="C317" s="6" t="s">
        <v>669</v>
      </c>
      <c r="D317" s="5">
        <v>40</v>
      </c>
      <c r="E317" s="29"/>
      <c r="F317" s="25"/>
      <c r="G317" s="25">
        <f>(D317-F317)</f>
        <v>40</v>
      </c>
      <c r="H317" s="27">
        <f t="shared" si="13"/>
        <v>38</v>
      </c>
      <c r="I317" s="28">
        <f t="shared" si="14"/>
        <v>2</v>
      </c>
      <c r="J317" s="25">
        <f t="shared" si="12"/>
        <v>15</v>
      </c>
      <c r="K317" s="5">
        <v>2011</v>
      </c>
      <c r="L317" s="25">
        <v>2026</v>
      </c>
      <c r="M317" s="25" t="s">
        <v>16</v>
      </c>
    </row>
    <row r="318" spans="1:13" ht="15.75" x14ac:dyDescent="0.25">
      <c r="A318" s="25">
        <v>315</v>
      </c>
      <c r="B318" s="5">
        <v>15983</v>
      </c>
      <c r="C318" s="6" t="s">
        <v>704</v>
      </c>
      <c r="D318" s="6">
        <v>30</v>
      </c>
      <c r="E318" s="29"/>
      <c r="F318" s="25"/>
      <c r="G318" s="25">
        <f>(D318-F318)</f>
        <v>30</v>
      </c>
      <c r="H318" s="27">
        <f t="shared" si="13"/>
        <v>28.5</v>
      </c>
      <c r="I318" s="28">
        <f t="shared" si="14"/>
        <v>1.5</v>
      </c>
      <c r="J318" s="25">
        <f t="shared" si="12"/>
        <v>15</v>
      </c>
      <c r="K318" s="6">
        <v>2011</v>
      </c>
      <c r="L318" s="25">
        <v>2026</v>
      </c>
      <c r="M318" s="25" t="s">
        <v>16</v>
      </c>
    </row>
    <row r="319" spans="1:13" ht="15.75" x14ac:dyDescent="0.25">
      <c r="A319" s="25">
        <v>316</v>
      </c>
      <c r="B319" s="6">
        <v>15987</v>
      </c>
      <c r="C319" s="6" t="s">
        <v>705</v>
      </c>
      <c r="D319" s="6">
        <v>30</v>
      </c>
      <c r="E319" s="29"/>
      <c r="F319" s="25"/>
      <c r="G319" s="25">
        <f>(D319-F319)</f>
        <v>30</v>
      </c>
      <c r="H319" s="27">
        <f t="shared" si="13"/>
        <v>28.5</v>
      </c>
      <c r="I319" s="28">
        <f t="shared" si="14"/>
        <v>1.5</v>
      </c>
      <c r="J319" s="25">
        <f t="shared" si="12"/>
        <v>15</v>
      </c>
      <c r="K319" s="6">
        <v>2011</v>
      </c>
      <c r="L319" s="25">
        <v>2026</v>
      </c>
      <c r="M319" s="25" t="s">
        <v>16</v>
      </c>
    </row>
    <row r="320" spans="1:13" ht="15.75" x14ac:dyDescent="0.25">
      <c r="A320" s="25">
        <v>317</v>
      </c>
      <c r="B320" s="9">
        <v>16004</v>
      </c>
      <c r="C320" s="9" t="s">
        <v>706</v>
      </c>
      <c r="D320" s="9">
        <v>30</v>
      </c>
      <c r="E320" s="29"/>
      <c r="F320" s="25"/>
      <c r="G320" s="25">
        <f>(D320-F320)</f>
        <v>30</v>
      </c>
      <c r="H320" s="27">
        <f t="shared" si="13"/>
        <v>28.5</v>
      </c>
      <c r="I320" s="28">
        <f t="shared" si="14"/>
        <v>1.5</v>
      </c>
      <c r="J320" s="25">
        <f t="shared" si="12"/>
        <v>15</v>
      </c>
      <c r="K320" s="9">
        <v>2011</v>
      </c>
      <c r="L320" s="25">
        <v>2026</v>
      </c>
      <c r="M320" s="25" t="s">
        <v>16</v>
      </c>
    </row>
    <row r="321" spans="1:13" ht="15.75" x14ac:dyDescent="0.25">
      <c r="A321" s="25">
        <v>318</v>
      </c>
      <c r="B321" s="5">
        <v>16009</v>
      </c>
      <c r="C321" s="6" t="s">
        <v>707</v>
      </c>
      <c r="D321" s="5">
        <v>30</v>
      </c>
      <c r="E321" s="29"/>
      <c r="F321" s="25"/>
      <c r="G321" s="25">
        <f>(D321-F321)</f>
        <v>30</v>
      </c>
      <c r="H321" s="27">
        <f t="shared" si="13"/>
        <v>28.5</v>
      </c>
      <c r="I321" s="28">
        <f t="shared" si="14"/>
        <v>1.5</v>
      </c>
      <c r="J321" s="25">
        <f t="shared" si="12"/>
        <v>15</v>
      </c>
      <c r="K321" s="5">
        <v>2011</v>
      </c>
      <c r="L321" s="25">
        <v>2026</v>
      </c>
      <c r="M321" s="25" t="s">
        <v>16</v>
      </c>
    </row>
    <row r="322" spans="1:13" ht="15.75" x14ac:dyDescent="0.25">
      <c r="A322" s="25">
        <v>319</v>
      </c>
      <c r="B322" s="5">
        <v>16014</v>
      </c>
      <c r="C322" s="6" t="s">
        <v>708</v>
      </c>
      <c r="D322" s="5">
        <v>30</v>
      </c>
      <c r="E322" s="29"/>
      <c r="F322" s="25"/>
      <c r="G322" s="25">
        <f>(D322-F322)</f>
        <v>30</v>
      </c>
      <c r="H322" s="27">
        <f t="shared" si="13"/>
        <v>28.5</v>
      </c>
      <c r="I322" s="28">
        <f t="shared" si="14"/>
        <v>1.5</v>
      </c>
      <c r="J322" s="25">
        <f t="shared" si="12"/>
        <v>15</v>
      </c>
      <c r="K322" s="5">
        <v>2011</v>
      </c>
      <c r="L322" s="25">
        <v>2026</v>
      </c>
      <c r="M322" s="25" t="s">
        <v>16</v>
      </c>
    </row>
    <row r="323" spans="1:13" ht="15.75" x14ac:dyDescent="0.25">
      <c r="A323" s="25">
        <v>320</v>
      </c>
      <c r="B323" s="5">
        <v>16022</v>
      </c>
      <c r="C323" s="6" t="s">
        <v>709</v>
      </c>
      <c r="D323" s="6">
        <v>30</v>
      </c>
      <c r="E323" s="29"/>
      <c r="F323" s="25"/>
      <c r="G323" s="25">
        <f>(D323-F323)</f>
        <v>30</v>
      </c>
      <c r="H323" s="27">
        <f t="shared" si="13"/>
        <v>28.5</v>
      </c>
      <c r="I323" s="28">
        <f t="shared" si="14"/>
        <v>1.5</v>
      </c>
      <c r="J323" s="25">
        <f t="shared" si="12"/>
        <v>15</v>
      </c>
      <c r="K323" s="6">
        <v>2011</v>
      </c>
      <c r="L323" s="25">
        <v>2026</v>
      </c>
      <c r="M323" s="25" t="s">
        <v>16</v>
      </c>
    </row>
    <row r="324" spans="1:13" ht="15.75" x14ac:dyDescent="0.25">
      <c r="A324" s="25">
        <v>321</v>
      </c>
      <c r="B324" s="5">
        <v>16022</v>
      </c>
      <c r="C324" s="6" t="s">
        <v>710</v>
      </c>
      <c r="D324" s="6">
        <v>30</v>
      </c>
      <c r="E324" s="29"/>
      <c r="F324" s="25"/>
      <c r="G324" s="25">
        <f>(D324-F324)</f>
        <v>30</v>
      </c>
      <c r="H324" s="27">
        <f t="shared" ref="H324:H387" si="15">(G324*0.95)</f>
        <v>28.5</v>
      </c>
      <c r="I324" s="28">
        <f t="shared" ref="I324:I387" si="16">(G324-H324)</f>
        <v>1.5</v>
      </c>
      <c r="J324" s="25">
        <f t="shared" ref="J324:J387" si="17">(L324-K324)</f>
        <v>15</v>
      </c>
      <c r="K324" s="5">
        <v>2011</v>
      </c>
      <c r="L324" s="25">
        <v>2026</v>
      </c>
      <c r="M324" s="25" t="s">
        <v>16</v>
      </c>
    </row>
    <row r="325" spans="1:13" ht="15.75" x14ac:dyDescent="0.25">
      <c r="A325" s="25">
        <v>322</v>
      </c>
      <c r="B325" s="5">
        <v>16024</v>
      </c>
      <c r="C325" s="6" t="s">
        <v>711</v>
      </c>
      <c r="D325" s="5">
        <v>30</v>
      </c>
      <c r="E325" s="29"/>
      <c r="F325" s="25"/>
      <c r="G325" s="25">
        <f>(D325-F325)</f>
        <v>30</v>
      </c>
      <c r="H325" s="27">
        <f t="shared" si="15"/>
        <v>28.5</v>
      </c>
      <c r="I325" s="28">
        <f t="shared" si="16"/>
        <v>1.5</v>
      </c>
      <c r="J325" s="25">
        <f t="shared" si="17"/>
        <v>15</v>
      </c>
      <c r="K325" s="5">
        <v>2011</v>
      </c>
      <c r="L325" s="25">
        <v>2026</v>
      </c>
      <c r="M325" s="25" t="s">
        <v>16</v>
      </c>
    </row>
    <row r="326" spans="1:13" ht="15.75" x14ac:dyDescent="0.25">
      <c r="A326" s="25">
        <v>323</v>
      </c>
      <c r="B326" s="5">
        <v>16091</v>
      </c>
      <c r="C326" s="6" t="s">
        <v>712</v>
      </c>
      <c r="D326" s="5">
        <v>40</v>
      </c>
      <c r="E326" s="29"/>
      <c r="F326" s="25"/>
      <c r="G326" s="25">
        <f>(D326-F326)</f>
        <v>40</v>
      </c>
      <c r="H326" s="27">
        <f t="shared" si="15"/>
        <v>38</v>
      </c>
      <c r="I326" s="28">
        <f t="shared" si="16"/>
        <v>2</v>
      </c>
      <c r="J326" s="25">
        <f t="shared" si="17"/>
        <v>15</v>
      </c>
      <c r="K326" s="5">
        <v>2011</v>
      </c>
      <c r="L326" s="25">
        <v>2026</v>
      </c>
      <c r="M326" s="25" t="s">
        <v>16</v>
      </c>
    </row>
    <row r="327" spans="1:13" ht="15.75" x14ac:dyDescent="0.25">
      <c r="A327" s="25">
        <v>324</v>
      </c>
      <c r="B327" s="5">
        <v>16108</v>
      </c>
      <c r="C327" s="6" t="s">
        <v>713</v>
      </c>
      <c r="D327" s="5">
        <v>40</v>
      </c>
      <c r="E327" s="29"/>
      <c r="F327" s="25"/>
      <c r="G327" s="25">
        <f>(D327-F327)</f>
        <v>40</v>
      </c>
      <c r="H327" s="27">
        <f t="shared" si="15"/>
        <v>38</v>
      </c>
      <c r="I327" s="28">
        <f t="shared" si="16"/>
        <v>2</v>
      </c>
      <c r="J327" s="25">
        <f t="shared" si="17"/>
        <v>15</v>
      </c>
      <c r="K327" s="5">
        <v>2011</v>
      </c>
      <c r="L327" s="25">
        <v>2026</v>
      </c>
      <c r="M327" s="25" t="s">
        <v>16</v>
      </c>
    </row>
    <row r="328" spans="1:13" ht="15.75" x14ac:dyDescent="0.25">
      <c r="A328" s="25">
        <v>325</v>
      </c>
      <c r="B328" s="5">
        <v>16122</v>
      </c>
      <c r="C328" s="6" t="s">
        <v>714</v>
      </c>
      <c r="D328" s="6">
        <v>40</v>
      </c>
      <c r="E328" s="29"/>
      <c r="F328" s="25"/>
      <c r="G328" s="25">
        <f>(D328-F328)</f>
        <v>40</v>
      </c>
      <c r="H328" s="27">
        <f t="shared" si="15"/>
        <v>38</v>
      </c>
      <c r="I328" s="28">
        <f t="shared" si="16"/>
        <v>2</v>
      </c>
      <c r="J328" s="25">
        <f t="shared" si="17"/>
        <v>15</v>
      </c>
      <c r="K328" s="6">
        <v>2011</v>
      </c>
      <c r="L328" s="25">
        <v>2026</v>
      </c>
      <c r="M328" s="25" t="s">
        <v>16</v>
      </c>
    </row>
    <row r="329" spans="1:13" ht="15.75" x14ac:dyDescent="0.25">
      <c r="A329" s="25">
        <v>326</v>
      </c>
      <c r="B329" s="5">
        <v>16134</v>
      </c>
      <c r="C329" s="6" t="s">
        <v>715</v>
      </c>
      <c r="D329" s="5">
        <v>40</v>
      </c>
      <c r="E329" s="29"/>
      <c r="F329" s="25"/>
      <c r="G329" s="25">
        <f>(D329-F329)</f>
        <v>40</v>
      </c>
      <c r="H329" s="27">
        <f t="shared" si="15"/>
        <v>38</v>
      </c>
      <c r="I329" s="28">
        <f t="shared" si="16"/>
        <v>2</v>
      </c>
      <c r="J329" s="25">
        <f t="shared" si="17"/>
        <v>15</v>
      </c>
      <c r="K329" s="5">
        <v>2011</v>
      </c>
      <c r="L329" s="25">
        <v>2026</v>
      </c>
      <c r="M329" s="25" t="s">
        <v>16</v>
      </c>
    </row>
    <row r="330" spans="1:13" ht="15.75" x14ac:dyDescent="0.25">
      <c r="A330" s="25">
        <v>327</v>
      </c>
      <c r="B330" s="5">
        <v>16134</v>
      </c>
      <c r="C330" s="6" t="s">
        <v>716</v>
      </c>
      <c r="D330" s="5">
        <v>40</v>
      </c>
      <c r="E330" s="29"/>
      <c r="F330" s="25"/>
      <c r="G330" s="25">
        <f>(D330-F330)</f>
        <v>40</v>
      </c>
      <c r="H330" s="27">
        <f t="shared" si="15"/>
        <v>38</v>
      </c>
      <c r="I330" s="28">
        <f t="shared" si="16"/>
        <v>2</v>
      </c>
      <c r="J330" s="25">
        <f t="shared" si="17"/>
        <v>15</v>
      </c>
      <c r="K330" s="5">
        <v>2011</v>
      </c>
      <c r="L330" s="25">
        <v>2026</v>
      </c>
      <c r="M330" s="25" t="s">
        <v>16</v>
      </c>
    </row>
    <row r="331" spans="1:13" ht="15.75" x14ac:dyDescent="0.25">
      <c r="A331" s="25">
        <v>328</v>
      </c>
      <c r="B331" s="5">
        <v>16136</v>
      </c>
      <c r="C331" s="6" t="s">
        <v>715</v>
      </c>
      <c r="D331" s="5">
        <v>40</v>
      </c>
      <c r="E331" s="29"/>
      <c r="F331" s="25"/>
      <c r="G331" s="25">
        <f>(D331-F331)</f>
        <v>40</v>
      </c>
      <c r="H331" s="27">
        <f t="shared" si="15"/>
        <v>38</v>
      </c>
      <c r="I331" s="28">
        <f t="shared" si="16"/>
        <v>2</v>
      </c>
      <c r="J331" s="25">
        <f t="shared" si="17"/>
        <v>15</v>
      </c>
      <c r="K331" s="5">
        <v>2011</v>
      </c>
      <c r="L331" s="25">
        <v>2026</v>
      </c>
      <c r="M331" s="25" t="s">
        <v>16</v>
      </c>
    </row>
    <row r="332" spans="1:13" ht="15.75" x14ac:dyDescent="0.25">
      <c r="A332" s="25">
        <v>329</v>
      </c>
      <c r="B332" s="5">
        <v>16137</v>
      </c>
      <c r="C332" s="6" t="s">
        <v>717</v>
      </c>
      <c r="D332" s="5">
        <v>40</v>
      </c>
      <c r="E332" s="29"/>
      <c r="F332" s="25"/>
      <c r="G332" s="25">
        <f>(D332-F332)</f>
        <v>40</v>
      </c>
      <c r="H332" s="27">
        <f t="shared" si="15"/>
        <v>38</v>
      </c>
      <c r="I332" s="28">
        <f t="shared" si="16"/>
        <v>2</v>
      </c>
      <c r="J332" s="25">
        <f t="shared" si="17"/>
        <v>15</v>
      </c>
      <c r="K332" s="5">
        <v>2011</v>
      </c>
      <c r="L332" s="25">
        <v>2026</v>
      </c>
      <c r="M332" s="25" t="s">
        <v>16</v>
      </c>
    </row>
    <row r="333" spans="1:13" ht="15.75" x14ac:dyDescent="0.25">
      <c r="A333" s="25">
        <v>330</v>
      </c>
      <c r="B333" s="5">
        <v>16138</v>
      </c>
      <c r="C333" s="6" t="s">
        <v>717</v>
      </c>
      <c r="D333" s="5">
        <v>40</v>
      </c>
      <c r="E333" s="29"/>
      <c r="F333" s="25"/>
      <c r="G333" s="25">
        <f>(D333-F333)</f>
        <v>40</v>
      </c>
      <c r="H333" s="27">
        <f t="shared" si="15"/>
        <v>38</v>
      </c>
      <c r="I333" s="28">
        <f t="shared" si="16"/>
        <v>2</v>
      </c>
      <c r="J333" s="25">
        <f t="shared" si="17"/>
        <v>15</v>
      </c>
      <c r="K333" s="5">
        <v>2011</v>
      </c>
      <c r="L333" s="25">
        <v>2026</v>
      </c>
      <c r="M333" s="25" t="s">
        <v>16</v>
      </c>
    </row>
    <row r="334" spans="1:13" ht="15.75" x14ac:dyDescent="0.25">
      <c r="A334" s="25">
        <v>331</v>
      </c>
      <c r="B334" s="5">
        <v>16143</v>
      </c>
      <c r="C334" s="6" t="s">
        <v>718</v>
      </c>
      <c r="D334" s="6">
        <v>40</v>
      </c>
      <c r="E334" s="29"/>
      <c r="F334" s="25"/>
      <c r="G334" s="25">
        <f>(D334-F334)</f>
        <v>40</v>
      </c>
      <c r="H334" s="27">
        <f t="shared" si="15"/>
        <v>38</v>
      </c>
      <c r="I334" s="28">
        <f t="shared" si="16"/>
        <v>2</v>
      </c>
      <c r="J334" s="25">
        <f t="shared" si="17"/>
        <v>15</v>
      </c>
      <c r="K334" s="6">
        <v>2011</v>
      </c>
      <c r="L334" s="25">
        <v>2026</v>
      </c>
      <c r="M334" s="25" t="s">
        <v>16</v>
      </c>
    </row>
    <row r="335" spans="1:13" ht="15.75" x14ac:dyDescent="0.25">
      <c r="A335" s="25">
        <v>332</v>
      </c>
      <c r="B335" s="5">
        <v>16153</v>
      </c>
      <c r="C335" s="6" t="s">
        <v>719</v>
      </c>
      <c r="D335" s="6">
        <v>40</v>
      </c>
      <c r="E335" s="29"/>
      <c r="F335" s="25"/>
      <c r="G335" s="25">
        <f>(D335-F335)</f>
        <v>40</v>
      </c>
      <c r="H335" s="27">
        <f t="shared" si="15"/>
        <v>38</v>
      </c>
      <c r="I335" s="28">
        <f t="shared" si="16"/>
        <v>2</v>
      </c>
      <c r="J335" s="25">
        <f t="shared" si="17"/>
        <v>15</v>
      </c>
      <c r="K335" s="6">
        <v>2011</v>
      </c>
      <c r="L335" s="25">
        <v>2026</v>
      </c>
      <c r="M335" s="25" t="s">
        <v>16</v>
      </c>
    </row>
    <row r="336" spans="1:13" ht="15.75" x14ac:dyDescent="0.25">
      <c r="A336" s="25">
        <v>333</v>
      </c>
      <c r="B336" s="5">
        <v>16156</v>
      </c>
      <c r="C336" s="6" t="s">
        <v>720</v>
      </c>
      <c r="D336" s="6">
        <v>40</v>
      </c>
      <c r="E336" s="29"/>
      <c r="F336" s="25"/>
      <c r="G336" s="25">
        <f>(D336-F336)</f>
        <v>40</v>
      </c>
      <c r="H336" s="27">
        <f t="shared" si="15"/>
        <v>38</v>
      </c>
      <c r="I336" s="28">
        <f t="shared" si="16"/>
        <v>2</v>
      </c>
      <c r="J336" s="25">
        <f t="shared" si="17"/>
        <v>15</v>
      </c>
      <c r="K336" s="6">
        <v>2011</v>
      </c>
      <c r="L336" s="25">
        <v>2026</v>
      </c>
      <c r="M336" s="25" t="s">
        <v>16</v>
      </c>
    </row>
    <row r="337" spans="1:13" ht="15.75" x14ac:dyDescent="0.25">
      <c r="A337" s="25">
        <v>334</v>
      </c>
      <c r="B337" s="5">
        <v>16163</v>
      </c>
      <c r="C337" s="6" t="s">
        <v>721</v>
      </c>
      <c r="D337" s="5">
        <v>40</v>
      </c>
      <c r="E337" s="29"/>
      <c r="F337" s="25"/>
      <c r="G337" s="25">
        <f>(D337-F337)</f>
        <v>40</v>
      </c>
      <c r="H337" s="27">
        <f t="shared" si="15"/>
        <v>38</v>
      </c>
      <c r="I337" s="28">
        <f t="shared" si="16"/>
        <v>2</v>
      </c>
      <c r="J337" s="25">
        <f t="shared" si="17"/>
        <v>15</v>
      </c>
      <c r="K337" s="5">
        <v>2011</v>
      </c>
      <c r="L337" s="25">
        <v>2026</v>
      </c>
      <c r="M337" s="25" t="s">
        <v>16</v>
      </c>
    </row>
    <row r="338" spans="1:13" ht="15.75" x14ac:dyDescent="0.25">
      <c r="A338" s="25">
        <v>335</v>
      </c>
      <c r="B338" s="5">
        <v>16164</v>
      </c>
      <c r="C338" s="6" t="s">
        <v>722</v>
      </c>
      <c r="D338" s="5">
        <v>40</v>
      </c>
      <c r="E338" s="29"/>
      <c r="F338" s="25"/>
      <c r="G338" s="25">
        <f>(D338-F338)</f>
        <v>40</v>
      </c>
      <c r="H338" s="27">
        <f t="shared" si="15"/>
        <v>38</v>
      </c>
      <c r="I338" s="28">
        <f t="shared" si="16"/>
        <v>2</v>
      </c>
      <c r="J338" s="25">
        <f t="shared" si="17"/>
        <v>15</v>
      </c>
      <c r="K338" s="5">
        <v>2011</v>
      </c>
      <c r="L338" s="25">
        <v>2026</v>
      </c>
      <c r="M338" s="25" t="s">
        <v>16</v>
      </c>
    </row>
    <row r="339" spans="1:13" ht="15.75" x14ac:dyDescent="0.25">
      <c r="A339" s="25">
        <v>336</v>
      </c>
      <c r="B339" s="5">
        <v>16166</v>
      </c>
      <c r="C339" s="6" t="s">
        <v>723</v>
      </c>
      <c r="D339" s="5">
        <v>40</v>
      </c>
      <c r="E339" s="29"/>
      <c r="F339" s="25"/>
      <c r="G339" s="25">
        <f>(D339-F339)</f>
        <v>40</v>
      </c>
      <c r="H339" s="27">
        <f t="shared" si="15"/>
        <v>38</v>
      </c>
      <c r="I339" s="28">
        <f t="shared" si="16"/>
        <v>2</v>
      </c>
      <c r="J339" s="25">
        <f t="shared" si="17"/>
        <v>15</v>
      </c>
      <c r="K339" s="5">
        <v>2011</v>
      </c>
      <c r="L339" s="25">
        <v>2026</v>
      </c>
      <c r="M339" s="25" t="s">
        <v>16</v>
      </c>
    </row>
    <row r="340" spans="1:13" ht="15.75" x14ac:dyDescent="0.25">
      <c r="A340" s="25">
        <v>337</v>
      </c>
      <c r="B340" s="5">
        <v>16180</v>
      </c>
      <c r="C340" s="6" t="s">
        <v>724</v>
      </c>
      <c r="D340" s="6">
        <v>50</v>
      </c>
      <c r="E340" s="29"/>
      <c r="F340" s="25"/>
      <c r="G340" s="25">
        <f>(D340-F340)</f>
        <v>50</v>
      </c>
      <c r="H340" s="27">
        <f t="shared" si="15"/>
        <v>47.5</v>
      </c>
      <c r="I340" s="28">
        <f t="shared" si="16"/>
        <v>2.5</v>
      </c>
      <c r="J340" s="25">
        <f t="shared" si="17"/>
        <v>15</v>
      </c>
      <c r="K340" s="6">
        <v>2011</v>
      </c>
      <c r="L340" s="25">
        <v>2026</v>
      </c>
      <c r="M340" s="25" t="s">
        <v>16</v>
      </c>
    </row>
    <row r="341" spans="1:13" ht="15.75" x14ac:dyDescent="0.25">
      <c r="A341" s="25">
        <v>338</v>
      </c>
      <c r="B341" s="5">
        <v>16181</v>
      </c>
      <c r="C341" s="6" t="s">
        <v>724</v>
      </c>
      <c r="D341" s="6">
        <v>50</v>
      </c>
      <c r="E341" s="29"/>
      <c r="F341" s="25"/>
      <c r="G341" s="25">
        <f>(D341-F341)</f>
        <v>50</v>
      </c>
      <c r="H341" s="27">
        <f t="shared" si="15"/>
        <v>47.5</v>
      </c>
      <c r="I341" s="28">
        <f t="shared" si="16"/>
        <v>2.5</v>
      </c>
      <c r="J341" s="25">
        <f t="shared" si="17"/>
        <v>15</v>
      </c>
      <c r="K341" s="6">
        <v>2011</v>
      </c>
      <c r="L341" s="25">
        <v>2026</v>
      </c>
      <c r="M341" s="25" t="s">
        <v>16</v>
      </c>
    </row>
    <row r="342" spans="1:13" ht="15.75" x14ac:dyDescent="0.25">
      <c r="A342" s="25">
        <v>339</v>
      </c>
      <c r="B342" s="5">
        <v>16185</v>
      </c>
      <c r="C342" s="6" t="s">
        <v>725</v>
      </c>
      <c r="D342" s="6">
        <v>200</v>
      </c>
      <c r="E342" s="29"/>
      <c r="F342" s="25"/>
      <c r="G342" s="25">
        <f>(D342-F342)</f>
        <v>200</v>
      </c>
      <c r="H342" s="27">
        <f t="shared" si="15"/>
        <v>190</v>
      </c>
      <c r="I342" s="28">
        <f t="shared" si="16"/>
        <v>10</v>
      </c>
      <c r="J342" s="25">
        <f t="shared" si="17"/>
        <v>15</v>
      </c>
      <c r="K342" s="6">
        <v>2011</v>
      </c>
      <c r="L342" s="25">
        <v>2026</v>
      </c>
      <c r="M342" s="25" t="s">
        <v>16</v>
      </c>
    </row>
    <row r="343" spans="1:13" ht="15.75" x14ac:dyDescent="0.25">
      <c r="A343" s="25">
        <v>340</v>
      </c>
      <c r="B343" s="5">
        <v>16188</v>
      </c>
      <c r="C343" s="6" t="s">
        <v>726</v>
      </c>
      <c r="D343" s="6">
        <v>185</v>
      </c>
      <c r="E343" s="29"/>
      <c r="F343" s="25"/>
      <c r="G343" s="25">
        <f>(D343-F343)</f>
        <v>185</v>
      </c>
      <c r="H343" s="27">
        <f t="shared" si="15"/>
        <v>175.75</v>
      </c>
      <c r="I343" s="28">
        <f t="shared" si="16"/>
        <v>9.25</v>
      </c>
      <c r="J343" s="25">
        <f t="shared" si="17"/>
        <v>15</v>
      </c>
      <c r="K343" s="6">
        <v>2011</v>
      </c>
      <c r="L343" s="25">
        <v>2026</v>
      </c>
      <c r="M343" s="25" t="s">
        <v>16</v>
      </c>
    </row>
    <row r="344" spans="1:13" ht="15.75" x14ac:dyDescent="0.25">
      <c r="A344" s="25">
        <v>341</v>
      </c>
      <c r="B344" s="5">
        <v>16190</v>
      </c>
      <c r="C344" s="6" t="s">
        <v>726</v>
      </c>
      <c r="D344" s="6">
        <v>185</v>
      </c>
      <c r="E344" s="29"/>
      <c r="F344" s="25"/>
      <c r="G344" s="25">
        <f>(D344-F344)</f>
        <v>185</v>
      </c>
      <c r="H344" s="27">
        <f t="shared" si="15"/>
        <v>175.75</v>
      </c>
      <c r="I344" s="28">
        <f t="shared" si="16"/>
        <v>9.25</v>
      </c>
      <c r="J344" s="25">
        <f t="shared" si="17"/>
        <v>15</v>
      </c>
      <c r="K344" s="6">
        <v>2011</v>
      </c>
      <c r="L344" s="25">
        <v>2026</v>
      </c>
      <c r="M344" s="25" t="s">
        <v>16</v>
      </c>
    </row>
    <row r="345" spans="1:13" ht="15.75" x14ac:dyDescent="0.25">
      <c r="A345" s="25">
        <v>342</v>
      </c>
      <c r="B345" s="5">
        <v>16238</v>
      </c>
      <c r="C345" s="6" t="s">
        <v>727</v>
      </c>
      <c r="D345" s="6">
        <v>100</v>
      </c>
      <c r="E345" s="29"/>
      <c r="F345" s="25"/>
      <c r="G345" s="25">
        <f>(D345-F345)</f>
        <v>100</v>
      </c>
      <c r="H345" s="27">
        <f t="shared" si="15"/>
        <v>95</v>
      </c>
      <c r="I345" s="28">
        <f t="shared" si="16"/>
        <v>5</v>
      </c>
      <c r="J345" s="25">
        <f t="shared" si="17"/>
        <v>15</v>
      </c>
      <c r="K345" s="6">
        <v>2011</v>
      </c>
      <c r="L345" s="25">
        <v>2026</v>
      </c>
      <c r="M345" s="25" t="s">
        <v>16</v>
      </c>
    </row>
    <row r="346" spans="1:13" ht="15.75" x14ac:dyDescent="0.25">
      <c r="A346" s="25">
        <v>343</v>
      </c>
      <c r="B346" s="5">
        <v>16240</v>
      </c>
      <c r="C346" s="6" t="s">
        <v>728</v>
      </c>
      <c r="D346" s="6">
        <v>100</v>
      </c>
      <c r="E346" s="29"/>
      <c r="F346" s="25"/>
      <c r="G346" s="25">
        <f>(D346-F346)</f>
        <v>100</v>
      </c>
      <c r="H346" s="27">
        <f t="shared" si="15"/>
        <v>95</v>
      </c>
      <c r="I346" s="28">
        <f t="shared" si="16"/>
        <v>5</v>
      </c>
      <c r="J346" s="25">
        <f t="shared" si="17"/>
        <v>15</v>
      </c>
      <c r="K346" s="6">
        <v>2011</v>
      </c>
      <c r="L346" s="25">
        <v>2026</v>
      </c>
      <c r="M346" s="25" t="s">
        <v>16</v>
      </c>
    </row>
    <row r="347" spans="1:13" ht="15.75" x14ac:dyDescent="0.25">
      <c r="A347" s="25">
        <v>344</v>
      </c>
      <c r="B347" s="5">
        <v>16241</v>
      </c>
      <c r="C347" s="6" t="s">
        <v>728</v>
      </c>
      <c r="D347" s="6">
        <v>130</v>
      </c>
      <c r="E347" s="29"/>
      <c r="F347" s="25"/>
      <c r="G347" s="25">
        <f>(D347-F347)</f>
        <v>130</v>
      </c>
      <c r="H347" s="27">
        <f t="shared" si="15"/>
        <v>123.5</v>
      </c>
      <c r="I347" s="28">
        <f t="shared" si="16"/>
        <v>6.5</v>
      </c>
      <c r="J347" s="25">
        <f t="shared" si="17"/>
        <v>15</v>
      </c>
      <c r="K347" s="6">
        <v>2011</v>
      </c>
      <c r="L347" s="25">
        <v>2026</v>
      </c>
      <c r="M347" s="25" t="s">
        <v>16</v>
      </c>
    </row>
    <row r="348" spans="1:13" ht="15.75" x14ac:dyDescent="0.25">
      <c r="A348" s="25">
        <v>345</v>
      </c>
      <c r="B348" s="5">
        <v>16242</v>
      </c>
      <c r="C348" s="6" t="s">
        <v>728</v>
      </c>
      <c r="D348" s="6">
        <v>130</v>
      </c>
      <c r="E348" s="29"/>
      <c r="F348" s="25"/>
      <c r="G348" s="25">
        <f>(D348-F348)</f>
        <v>130</v>
      </c>
      <c r="H348" s="27">
        <f t="shared" si="15"/>
        <v>123.5</v>
      </c>
      <c r="I348" s="28">
        <f t="shared" si="16"/>
        <v>6.5</v>
      </c>
      <c r="J348" s="25">
        <f t="shared" si="17"/>
        <v>15</v>
      </c>
      <c r="K348" s="6">
        <v>2011</v>
      </c>
      <c r="L348" s="25">
        <v>2026</v>
      </c>
      <c r="M348" s="25" t="s">
        <v>16</v>
      </c>
    </row>
    <row r="349" spans="1:13" ht="15.75" x14ac:dyDescent="0.25">
      <c r="A349" s="25">
        <v>346</v>
      </c>
      <c r="B349" s="5">
        <v>16244</v>
      </c>
      <c r="C349" s="6" t="s">
        <v>728</v>
      </c>
      <c r="D349" s="6">
        <v>130</v>
      </c>
      <c r="E349" s="29"/>
      <c r="F349" s="25"/>
      <c r="G349" s="25">
        <f>(D349-F349)</f>
        <v>130</v>
      </c>
      <c r="H349" s="27">
        <f t="shared" si="15"/>
        <v>123.5</v>
      </c>
      <c r="I349" s="28">
        <f t="shared" si="16"/>
        <v>6.5</v>
      </c>
      <c r="J349" s="25">
        <f t="shared" si="17"/>
        <v>15</v>
      </c>
      <c r="K349" s="6">
        <v>2011</v>
      </c>
      <c r="L349" s="25">
        <v>2026</v>
      </c>
      <c r="M349" s="25" t="s">
        <v>16</v>
      </c>
    </row>
    <row r="350" spans="1:13" ht="15.75" x14ac:dyDescent="0.25">
      <c r="A350" s="25">
        <v>347</v>
      </c>
      <c r="B350" s="5">
        <v>16245</v>
      </c>
      <c r="C350" s="6" t="s">
        <v>727</v>
      </c>
      <c r="D350" s="6">
        <v>130</v>
      </c>
      <c r="E350" s="29"/>
      <c r="F350" s="25"/>
      <c r="G350" s="25">
        <f>(D350-F350)</f>
        <v>130</v>
      </c>
      <c r="H350" s="27">
        <f t="shared" si="15"/>
        <v>123.5</v>
      </c>
      <c r="I350" s="28">
        <f t="shared" si="16"/>
        <v>6.5</v>
      </c>
      <c r="J350" s="25">
        <f t="shared" si="17"/>
        <v>15</v>
      </c>
      <c r="K350" s="6">
        <v>2011</v>
      </c>
      <c r="L350" s="25">
        <v>2026</v>
      </c>
      <c r="M350" s="25" t="s">
        <v>16</v>
      </c>
    </row>
    <row r="351" spans="1:13" ht="15.75" x14ac:dyDescent="0.25">
      <c r="A351" s="25">
        <v>348</v>
      </c>
      <c r="B351" s="5">
        <v>16246</v>
      </c>
      <c r="C351" s="6" t="s">
        <v>700</v>
      </c>
      <c r="D351" s="6">
        <v>80</v>
      </c>
      <c r="E351" s="29"/>
      <c r="F351" s="25"/>
      <c r="G351" s="25">
        <f>(D351-F351)</f>
        <v>80</v>
      </c>
      <c r="H351" s="27">
        <f t="shared" si="15"/>
        <v>76</v>
      </c>
      <c r="I351" s="28">
        <f t="shared" si="16"/>
        <v>4</v>
      </c>
      <c r="J351" s="25">
        <f t="shared" si="17"/>
        <v>15</v>
      </c>
      <c r="K351" s="6">
        <v>2011</v>
      </c>
      <c r="L351" s="25">
        <v>2026</v>
      </c>
      <c r="M351" s="25" t="s">
        <v>16</v>
      </c>
    </row>
    <row r="352" spans="1:13" ht="15.75" x14ac:dyDescent="0.25">
      <c r="A352" s="25">
        <v>349</v>
      </c>
      <c r="B352" s="5">
        <v>16247</v>
      </c>
      <c r="C352" s="6" t="s">
        <v>729</v>
      </c>
      <c r="D352" s="6">
        <v>80</v>
      </c>
      <c r="E352" s="29"/>
      <c r="F352" s="25"/>
      <c r="G352" s="25">
        <f>(D352-F352)</f>
        <v>80</v>
      </c>
      <c r="H352" s="27">
        <f t="shared" si="15"/>
        <v>76</v>
      </c>
      <c r="I352" s="28">
        <f t="shared" si="16"/>
        <v>4</v>
      </c>
      <c r="J352" s="25">
        <f t="shared" si="17"/>
        <v>15</v>
      </c>
      <c r="K352" s="6">
        <v>2011</v>
      </c>
      <c r="L352" s="25">
        <v>2026</v>
      </c>
      <c r="M352" s="25" t="s">
        <v>16</v>
      </c>
    </row>
    <row r="353" spans="1:13" ht="15.75" x14ac:dyDescent="0.25">
      <c r="A353" s="25">
        <v>350</v>
      </c>
      <c r="B353" s="5">
        <v>16251</v>
      </c>
      <c r="C353" s="6" t="s">
        <v>729</v>
      </c>
      <c r="D353" s="6">
        <v>185</v>
      </c>
      <c r="E353" s="29"/>
      <c r="F353" s="25"/>
      <c r="G353" s="25">
        <f>(D353-F353)</f>
        <v>185</v>
      </c>
      <c r="H353" s="27">
        <f t="shared" si="15"/>
        <v>175.75</v>
      </c>
      <c r="I353" s="28">
        <f t="shared" si="16"/>
        <v>9.25</v>
      </c>
      <c r="J353" s="25">
        <f t="shared" si="17"/>
        <v>15</v>
      </c>
      <c r="K353" s="6">
        <v>2011</v>
      </c>
      <c r="L353" s="25">
        <v>2026</v>
      </c>
      <c r="M353" s="25" t="s">
        <v>16</v>
      </c>
    </row>
    <row r="354" spans="1:13" ht="15.75" x14ac:dyDescent="0.25">
      <c r="A354" s="25">
        <v>351</v>
      </c>
      <c r="B354" s="5">
        <v>16252</v>
      </c>
      <c r="C354" s="6" t="s">
        <v>729</v>
      </c>
      <c r="D354" s="6">
        <v>85</v>
      </c>
      <c r="E354" s="29"/>
      <c r="F354" s="25"/>
      <c r="G354" s="25">
        <f>(D354-F354)</f>
        <v>85</v>
      </c>
      <c r="H354" s="27">
        <f t="shared" si="15"/>
        <v>80.75</v>
      </c>
      <c r="I354" s="28">
        <f t="shared" si="16"/>
        <v>4.25</v>
      </c>
      <c r="J354" s="25">
        <f t="shared" si="17"/>
        <v>15</v>
      </c>
      <c r="K354" s="6">
        <v>2011</v>
      </c>
      <c r="L354" s="25">
        <v>2026</v>
      </c>
      <c r="M354" s="25" t="s">
        <v>16</v>
      </c>
    </row>
    <row r="355" spans="1:13" ht="15.75" x14ac:dyDescent="0.25">
      <c r="A355" s="25">
        <v>352</v>
      </c>
      <c r="B355" s="9">
        <v>16253</v>
      </c>
      <c r="C355" s="9" t="s">
        <v>730</v>
      </c>
      <c r="D355" s="9">
        <v>45</v>
      </c>
      <c r="E355" s="29"/>
      <c r="F355" s="25"/>
      <c r="G355" s="25">
        <f>(D355-F355)</f>
        <v>45</v>
      </c>
      <c r="H355" s="27">
        <f t="shared" si="15"/>
        <v>42.75</v>
      </c>
      <c r="I355" s="28">
        <f t="shared" si="16"/>
        <v>2.25</v>
      </c>
      <c r="J355" s="25">
        <f t="shared" si="17"/>
        <v>15</v>
      </c>
      <c r="K355" s="9">
        <v>2011</v>
      </c>
      <c r="L355" s="25">
        <v>2026</v>
      </c>
      <c r="M355" s="25" t="s">
        <v>16</v>
      </c>
    </row>
    <row r="356" spans="1:13" ht="15.75" x14ac:dyDescent="0.25">
      <c r="A356" s="25">
        <v>353</v>
      </c>
      <c r="B356" s="5">
        <v>16253</v>
      </c>
      <c r="C356" s="6" t="s">
        <v>731</v>
      </c>
      <c r="D356" s="6">
        <v>45</v>
      </c>
      <c r="E356" s="29"/>
      <c r="F356" s="25"/>
      <c r="G356" s="25">
        <f>(D356-F356)</f>
        <v>45</v>
      </c>
      <c r="H356" s="27">
        <f t="shared" si="15"/>
        <v>42.75</v>
      </c>
      <c r="I356" s="28">
        <f t="shared" si="16"/>
        <v>2.25</v>
      </c>
      <c r="J356" s="25">
        <f t="shared" si="17"/>
        <v>15</v>
      </c>
      <c r="K356" s="5">
        <v>2011</v>
      </c>
      <c r="L356" s="25">
        <v>2026</v>
      </c>
      <c r="M356" s="25" t="s">
        <v>16</v>
      </c>
    </row>
    <row r="357" spans="1:13" ht="15.75" x14ac:dyDescent="0.25">
      <c r="A357" s="25">
        <v>354</v>
      </c>
      <c r="B357" s="9">
        <v>16255</v>
      </c>
      <c r="C357" s="9" t="s">
        <v>730</v>
      </c>
      <c r="D357" s="9">
        <v>45</v>
      </c>
      <c r="E357" s="29"/>
      <c r="F357" s="25"/>
      <c r="G357" s="25">
        <f>(D357-F357)</f>
        <v>45</v>
      </c>
      <c r="H357" s="27">
        <f t="shared" si="15"/>
        <v>42.75</v>
      </c>
      <c r="I357" s="28">
        <f t="shared" si="16"/>
        <v>2.25</v>
      </c>
      <c r="J357" s="25">
        <f t="shared" si="17"/>
        <v>15</v>
      </c>
      <c r="K357" s="9">
        <v>2011</v>
      </c>
      <c r="L357" s="25">
        <v>2026</v>
      </c>
      <c r="M357" s="25" t="s">
        <v>16</v>
      </c>
    </row>
    <row r="358" spans="1:13" ht="15.75" x14ac:dyDescent="0.25">
      <c r="A358" s="25">
        <v>355</v>
      </c>
      <c r="B358" s="9">
        <v>16256</v>
      </c>
      <c r="C358" s="9" t="s">
        <v>732</v>
      </c>
      <c r="D358" s="9">
        <v>70</v>
      </c>
      <c r="E358" s="29"/>
      <c r="F358" s="25"/>
      <c r="G358" s="25">
        <f>(D358-F358)</f>
        <v>70</v>
      </c>
      <c r="H358" s="27">
        <f t="shared" si="15"/>
        <v>66.5</v>
      </c>
      <c r="I358" s="28">
        <f t="shared" si="16"/>
        <v>3.5</v>
      </c>
      <c r="J358" s="25">
        <f t="shared" si="17"/>
        <v>15</v>
      </c>
      <c r="K358" s="9">
        <v>2011</v>
      </c>
      <c r="L358" s="25">
        <v>2026</v>
      </c>
      <c r="M358" s="25" t="s">
        <v>16</v>
      </c>
    </row>
    <row r="359" spans="1:13" ht="15.75" x14ac:dyDescent="0.25">
      <c r="A359" s="25">
        <v>356</v>
      </c>
      <c r="B359" s="9">
        <v>16257</v>
      </c>
      <c r="C359" s="9" t="s">
        <v>733</v>
      </c>
      <c r="D359" s="9">
        <v>70</v>
      </c>
      <c r="E359" s="29"/>
      <c r="F359" s="25"/>
      <c r="G359" s="25">
        <f>(D359-F359)</f>
        <v>70</v>
      </c>
      <c r="H359" s="27">
        <f t="shared" si="15"/>
        <v>66.5</v>
      </c>
      <c r="I359" s="28">
        <f t="shared" si="16"/>
        <v>3.5</v>
      </c>
      <c r="J359" s="25">
        <f t="shared" si="17"/>
        <v>15</v>
      </c>
      <c r="K359" s="9">
        <v>2011</v>
      </c>
      <c r="L359" s="25">
        <v>2026</v>
      </c>
      <c r="M359" s="25" t="s">
        <v>16</v>
      </c>
    </row>
    <row r="360" spans="1:13" ht="15.75" x14ac:dyDescent="0.25">
      <c r="A360" s="25">
        <v>357</v>
      </c>
      <c r="B360" s="9">
        <v>16258</v>
      </c>
      <c r="C360" s="9" t="s">
        <v>732</v>
      </c>
      <c r="D360" s="9">
        <v>70</v>
      </c>
      <c r="E360" s="29"/>
      <c r="F360" s="25"/>
      <c r="G360" s="25">
        <f>(D360-F360)</f>
        <v>70</v>
      </c>
      <c r="H360" s="27">
        <f t="shared" si="15"/>
        <v>66.5</v>
      </c>
      <c r="I360" s="28">
        <f t="shared" si="16"/>
        <v>3.5</v>
      </c>
      <c r="J360" s="25">
        <f t="shared" si="17"/>
        <v>15</v>
      </c>
      <c r="K360" s="9">
        <v>2011</v>
      </c>
      <c r="L360" s="25">
        <v>2026</v>
      </c>
      <c r="M360" s="25" t="s">
        <v>16</v>
      </c>
    </row>
    <row r="361" spans="1:13" ht="15.75" x14ac:dyDescent="0.25">
      <c r="A361" s="25">
        <v>358</v>
      </c>
      <c r="B361" s="5">
        <v>16273</v>
      </c>
      <c r="C361" s="6" t="s">
        <v>734</v>
      </c>
      <c r="D361" s="6">
        <v>100</v>
      </c>
      <c r="E361" s="29"/>
      <c r="F361" s="25"/>
      <c r="G361" s="25">
        <f>(D361-F361)</f>
        <v>100</v>
      </c>
      <c r="H361" s="27">
        <f t="shared" si="15"/>
        <v>95</v>
      </c>
      <c r="I361" s="28">
        <f t="shared" si="16"/>
        <v>5</v>
      </c>
      <c r="J361" s="25">
        <f t="shared" si="17"/>
        <v>15</v>
      </c>
      <c r="K361" s="6">
        <v>2011</v>
      </c>
      <c r="L361" s="25">
        <v>2026</v>
      </c>
      <c r="M361" s="25" t="s">
        <v>16</v>
      </c>
    </row>
    <row r="362" spans="1:13" ht="15.75" x14ac:dyDescent="0.25">
      <c r="A362" s="25">
        <v>359</v>
      </c>
      <c r="B362" s="5">
        <v>16280</v>
      </c>
      <c r="C362" s="6" t="s">
        <v>735</v>
      </c>
      <c r="D362" s="5">
        <v>30</v>
      </c>
      <c r="E362" s="29"/>
      <c r="F362" s="25"/>
      <c r="G362" s="25">
        <f>(D362-F362)</f>
        <v>30</v>
      </c>
      <c r="H362" s="27">
        <f t="shared" si="15"/>
        <v>28.5</v>
      </c>
      <c r="I362" s="28">
        <f t="shared" si="16"/>
        <v>1.5</v>
      </c>
      <c r="J362" s="25">
        <f t="shared" si="17"/>
        <v>15</v>
      </c>
      <c r="K362" s="5">
        <v>2011</v>
      </c>
      <c r="L362" s="25">
        <v>2026</v>
      </c>
      <c r="M362" s="25" t="s">
        <v>16</v>
      </c>
    </row>
    <row r="363" spans="1:13" ht="15.75" x14ac:dyDescent="0.25">
      <c r="A363" s="25">
        <v>360</v>
      </c>
      <c r="B363" s="5">
        <v>16283</v>
      </c>
      <c r="C363" s="6" t="s">
        <v>736</v>
      </c>
      <c r="D363" s="5">
        <v>500</v>
      </c>
      <c r="E363" s="29"/>
      <c r="F363" s="25"/>
      <c r="G363" s="25">
        <f>(D363-F363)</f>
        <v>500</v>
      </c>
      <c r="H363" s="27">
        <f t="shared" si="15"/>
        <v>475</v>
      </c>
      <c r="I363" s="28">
        <f t="shared" si="16"/>
        <v>25</v>
      </c>
      <c r="J363" s="25">
        <f t="shared" si="17"/>
        <v>15</v>
      </c>
      <c r="K363" s="5">
        <v>2011</v>
      </c>
      <c r="L363" s="25">
        <v>2026</v>
      </c>
      <c r="M363" s="25" t="s">
        <v>16</v>
      </c>
    </row>
    <row r="364" spans="1:13" ht="15.75" x14ac:dyDescent="0.25">
      <c r="A364" s="25">
        <v>361</v>
      </c>
      <c r="B364" s="5">
        <v>16333</v>
      </c>
      <c r="C364" s="6" t="s">
        <v>737</v>
      </c>
      <c r="D364" s="5">
        <v>50</v>
      </c>
      <c r="E364" s="29"/>
      <c r="F364" s="25"/>
      <c r="G364" s="25">
        <f>(D364-F364)</f>
        <v>50</v>
      </c>
      <c r="H364" s="27">
        <f t="shared" si="15"/>
        <v>47.5</v>
      </c>
      <c r="I364" s="28">
        <f t="shared" si="16"/>
        <v>2.5</v>
      </c>
      <c r="J364" s="25">
        <f t="shared" si="17"/>
        <v>15</v>
      </c>
      <c r="K364" s="5">
        <v>2011</v>
      </c>
      <c r="L364" s="25">
        <v>2026</v>
      </c>
      <c r="M364" s="25" t="s">
        <v>16</v>
      </c>
    </row>
    <row r="365" spans="1:13" ht="15.75" x14ac:dyDescent="0.25">
      <c r="A365" s="25">
        <v>362</v>
      </c>
      <c r="B365" s="5">
        <v>16364</v>
      </c>
      <c r="C365" s="6" t="s">
        <v>738</v>
      </c>
      <c r="D365" s="6">
        <v>160</v>
      </c>
      <c r="E365" s="29"/>
      <c r="F365" s="25"/>
      <c r="G365" s="25">
        <f>(D365-F365)</f>
        <v>160</v>
      </c>
      <c r="H365" s="27">
        <f t="shared" si="15"/>
        <v>152</v>
      </c>
      <c r="I365" s="28">
        <f t="shared" si="16"/>
        <v>8</v>
      </c>
      <c r="J365" s="25">
        <f t="shared" si="17"/>
        <v>15</v>
      </c>
      <c r="K365" s="6">
        <v>2011</v>
      </c>
      <c r="L365" s="25">
        <v>2026</v>
      </c>
      <c r="M365" s="25" t="s">
        <v>16</v>
      </c>
    </row>
    <row r="366" spans="1:13" ht="15.75" x14ac:dyDescent="0.25">
      <c r="A366" s="25">
        <v>363</v>
      </c>
      <c r="B366" s="5">
        <v>16391</v>
      </c>
      <c r="C366" s="6" t="s">
        <v>739</v>
      </c>
      <c r="D366" s="6">
        <v>145</v>
      </c>
      <c r="E366" s="29"/>
      <c r="F366" s="25"/>
      <c r="G366" s="25">
        <f>(D366-F366)</f>
        <v>145</v>
      </c>
      <c r="H366" s="27">
        <f t="shared" si="15"/>
        <v>137.75</v>
      </c>
      <c r="I366" s="28">
        <f t="shared" si="16"/>
        <v>7.25</v>
      </c>
      <c r="J366" s="25">
        <f t="shared" si="17"/>
        <v>15</v>
      </c>
      <c r="K366" s="6">
        <v>2011</v>
      </c>
      <c r="L366" s="25">
        <v>2026</v>
      </c>
      <c r="M366" s="25" t="s">
        <v>16</v>
      </c>
    </row>
    <row r="367" spans="1:13" ht="15.75" x14ac:dyDescent="0.25">
      <c r="A367" s="25">
        <v>364</v>
      </c>
      <c r="B367" s="5">
        <v>16393</v>
      </c>
      <c r="C367" s="6" t="s">
        <v>740</v>
      </c>
      <c r="D367" s="6">
        <v>109</v>
      </c>
      <c r="E367" s="29"/>
      <c r="F367" s="25"/>
      <c r="G367" s="25">
        <f>(D367-F367)</f>
        <v>109</v>
      </c>
      <c r="H367" s="27">
        <f t="shared" si="15"/>
        <v>103.55</v>
      </c>
      <c r="I367" s="28">
        <f t="shared" si="16"/>
        <v>5.4500000000000028</v>
      </c>
      <c r="J367" s="25">
        <f t="shared" si="17"/>
        <v>15</v>
      </c>
      <c r="K367" s="6">
        <v>2011</v>
      </c>
      <c r="L367" s="25">
        <v>2026</v>
      </c>
      <c r="M367" s="25" t="s">
        <v>16</v>
      </c>
    </row>
    <row r="368" spans="1:13" ht="15.75" x14ac:dyDescent="0.25">
      <c r="A368" s="25">
        <v>365</v>
      </c>
      <c r="B368" s="5">
        <v>16395</v>
      </c>
      <c r="C368" s="6" t="s">
        <v>739</v>
      </c>
      <c r="D368" s="6">
        <v>85</v>
      </c>
      <c r="E368" s="29"/>
      <c r="F368" s="25"/>
      <c r="G368" s="25">
        <f>(D368-F368)</f>
        <v>85</v>
      </c>
      <c r="H368" s="27">
        <f t="shared" si="15"/>
        <v>80.75</v>
      </c>
      <c r="I368" s="28">
        <f t="shared" si="16"/>
        <v>4.25</v>
      </c>
      <c r="J368" s="25">
        <f t="shared" si="17"/>
        <v>15</v>
      </c>
      <c r="K368" s="6">
        <v>2011</v>
      </c>
      <c r="L368" s="25">
        <v>2026</v>
      </c>
      <c r="M368" s="25" t="s">
        <v>16</v>
      </c>
    </row>
    <row r="369" spans="1:13" ht="15.75" x14ac:dyDescent="0.25">
      <c r="A369" s="25">
        <v>366</v>
      </c>
      <c r="B369" s="5">
        <v>16396</v>
      </c>
      <c r="C369" s="6" t="s">
        <v>739</v>
      </c>
      <c r="D369" s="6">
        <v>85</v>
      </c>
      <c r="E369" s="29"/>
      <c r="F369" s="25"/>
      <c r="G369" s="25">
        <f>(D369-F369)</f>
        <v>85</v>
      </c>
      <c r="H369" s="27">
        <f t="shared" si="15"/>
        <v>80.75</v>
      </c>
      <c r="I369" s="28">
        <f t="shared" si="16"/>
        <v>4.25</v>
      </c>
      <c r="J369" s="25">
        <f t="shared" si="17"/>
        <v>15</v>
      </c>
      <c r="K369" s="6">
        <v>2011</v>
      </c>
      <c r="L369" s="25">
        <v>2026</v>
      </c>
      <c r="M369" s="25" t="s">
        <v>16</v>
      </c>
    </row>
    <row r="370" spans="1:13" ht="15.75" x14ac:dyDescent="0.25">
      <c r="A370" s="25">
        <v>367</v>
      </c>
      <c r="B370" s="5">
        <v>16449</v>
      </c>
      <c r="C370" s="6" t="s">
        <v>741</v>
      </c>
      <c r="D370" s="5">
        <v>595</v>
      </c>
      <c r="E370" s="29"/>
      <c r="F370" s="25"/>
      <c r="G370" s="25">
        <f>(D370-F370)</f>
        <v>595</v>
      </c>
      <c r="H370" s="27">
        <f t="shared" si="15"/>
        <v>565.25</v>
      </c>
      <c r="I370" s="28">
        <f t="shared" si="16"/>
        <v>29.75</v>
      </c>
      <c r="J370" s="25">
        <f t="shared" si="17"/>
        <v>15</v>
      </c>
      <c r="K370" s="5">
        <v>2011</v>
      </c>
      <c r="L370" s="25">
        <v>2026</v>
      </c>
      <c r="M370" s="25" t="s">
        <v>16</v>
      </c>
    </row>
    <row r="371" spans="1:13" ht="15.75" x14ac:dyDescent="0.25">
      <c r="A371" s="25">
        <v>368</v>
      </c>
      <c r="B371" s="5">
        <v>16450</v>
      </c>
      <c r="C371" s="6" t="s">
        <v>742</v>
      </c>
      <c r="D371" s="5">
        <v>645</v>
      </c>
      <c r="E371" s="29"/>
      <c r="F371" s="25"/>
      <c r="G371" s="25">
        <f>(D371-F371)</f>
        <v>645</v>
      </c>
      <c r="H371" s="27">
        <f t="shared" si="15"/>
        <v>612.75</v>
      </c>
      <c r="I371" s="28">
        <f t="shared" si="16"/>
        <v>32.25</v>
      </c>
      <c r="J371" s="25">
        <f t="shared" si="17"/>
        <v>15</v>
      </c>
      <c r="K371" s="5">
        <v>2011</v>
      </c>
      <c r="L371" s="25">
        <v>2026</v>
      </c>
      <c r="M371" s="25" t="s">
        <v>16</v>
      </c>
    </row>
    <row r="372" spans="1:13" ht="15.75" x14ac:dyDescent="0.25">
      <c r="A372" s="25">
        <v>369</v>
      </c>
      <c r="B372" s="5">
        <v>16697</v>
      </c>
      <c r="C372" s="6" t="s">
        <v>743</v>
      </c>
      <c r="D372" s="6">
        <v>195</v>
      </c>
      <c r="E372" s="29"/>
      <c r="F372" s="25"/>
      <c r="G372" s="25">
        <f>(D372-F372)</f>
        <v>195</v>
      </c>
      <c r="H372" s="27">
        <f t="shared" si="15"/>
        <v>185.25</v>
      </c>
      <c r="I372" s="28">
        <f t="shared" si="16"/>
        <v>9.75</v>
      </c>
      <c r="J372" s="25">
        <f t="shared" si="17"/>
        <v>14</v>
      </c>
      <c r="K372" s="6">
        <v>2012</v>
      </c>
      <c r="L372" s="25">
        <v>2026</v>
      </c>
      <c r="M372" s="25" t="s">
        <v>16</v>
      </c>
    </row>
    <row r="373" spans="1:13" ht="15.75" x14ac:dyDescent="0.25">
      <c r="A373" s="25">
        <v>370</v>
      </c>
      <c r="B373" s="5">
        <v>16702</v>
      </c>
      <c r="C373" s="6" t="s">
        <v>744</v>
      </c>
      <c r="D373" s="6">
        <v>100</v>
      </c>
      <c r="E373" s="29"/>
      <c r="F373" s="25"/>
      <c r="G373" s="25">
        <f>(D373-F373)</f>
        <v>100</v>
      </c>
      <c r="H373" s="27">
        <f t="shared" si="15"/>
        <v>95</v>
      </c>
      <c r="I373" s="28">
        <f t="shared" si="16"/>
        <v>5</v>
      </c>
      <c r="J373" s="25">
        <f t="shared" si="17"/>
        <v>14</v>
      </c>
      <c r="K373" s="6">
        <v>2012</v>
      </c>
      <c r="L373" s="25">
        <v>2026</v>
      </c>
      <c r="M373" s="25" t="s">
        <v>16</v>
      </c>
    </row>
    <row r="374" spans="1:13" ht="15.75" x14ac:dyDescent="0.25">
      <c r="A374" s="25">
        <v>371</v>
      </c>
      <c r="B374" s="6">
        <v>16703</v>
      </c>
      <c r="C374" s="6" t="s">
        <v>745</v>
      </c>
      <c r="D374" s="6">
        <v>100</v>
      </c>
      <c r="E374" s="29"/>
      <c r="F374" s="25"/>
      <c r="G374" s="25">
        <f>(D374-F374)</f>
        <v>100</v>
      </c>
      <c r="H374" s="27">
        <f t="shared" si="15"/>
        <v>95</v>
      </c>
      <c r="I374" s="28">
        <f t="shared" si="16"/>
        <v>5</v>
      </c>
      <c r="J374" s="25">
        <f t="shared" si="17"/>
        <v>14</v>
      </c>
      <c r="K374" s="6">
        <v>2012</v>
      </c>
      <c r="L374" s="25">
        <v>2026</v>
      </c>
      <c r="M374" s="25" t="s">
        <v>16</v>
      </c>
    </row>
    <row r="375" spans="1:13" ht="15.75" x14ac:dyDescent="0.25">
      <c r="A375" s="25">
        <v>372</v>
      </c>
      <c r="B375" s="5">
        <v>16704</v>
      </c>
      <c r="C375" s="6" t="s">
        <v>746</v>
      </c>
      <c r="D375" s="6">
        <v>100</v>
      </c>
      <c r="E375" s="29"/>
      <c r="F375" s="25"/>
      <c r="G375" s="25">
        <f>(D375-F375)</f>
        <v>100</v>
      </c>
      <c r="H375" s="27">
        <f t="shared" si="15"/>
        <v>95</v>
      </c>
      <c r="I375" s="28">
        <f t="shared" si="16"/>
        <v>5</v>
      </c>
      <c r="J375" s="25">
        <f t="shared" si="17"/>
        <v>14</v>
      </c>
      <c r="K375" s="6">
        <v>2012</v>
      </c>
      <c r="L375" s="25">
        <v>2026</v>
      </c>
      <c r="M375" s="25" t="s">
        <v>16</v>
      </c>
    </row>
    <row r="376" spans="1:13" ht="15.75" x14ac:dyDescent="0.25">
      <c r="A376" s="25">
        <v>373</v>
      </c>
      <c r="B376" s="5">
        <v>16705</v>
      </c>
      <c r="C376" s="6" t="s">
        <v>747</v>
      </c>
      <c r="D376" s="6">
        <v>100</v>
      </c>
      <c r="E376" s="29"/>
      <c r="F376" s="25"/>
      <c r="G376" s="25">
        <f>(D376-F376)</f>
        <v>100</v>
      </c>
      <c r="H376" s="27">
        <f t="shared" si="15"/>
        <v>95</v>
      </c>
      <c r="I376" s="28">
        <f t="shared" si="16"/>
        <v>5</v>
      </c>
      <c r="J376" s="25">
        <f t="shared" si="17"/>
        <v>14</v>
      </c>
      <c r="K376" s="6">
        <v>2012</v>
      </c>
      <c r="L376" s="25">
        <v>2026</v>
      </c>
      <c r="M376" s="25" t="s">
        <v>16</v>
      </c>
    </row>
    <row r="377" spans="1:13" ht="15.75" x14ac:dyDescent="0.25">
      <c r="A377" s="25">
        <v>374</v>
      </c>
      <c r="B377" s="5">
        <v>16731</v>
      </c>
      <c r="C377" s="6" t="s">
        <v>748</v>
      </c>
      <c r="D377" s="5">
        <v>40</v>
      </c>
      <c r="E377" s="29"/>
      <c r="F377" s="25"/>
      <c r="G377" s="25">
        <f>(D377-F377)</f>
        <v>40</v>
      </c>
      <c r="H377" s="27">
        <f t="shared" si="15"/>
        <v>38</v>
      </c>
      <c r="I377" s="28">
        <f t="shared" si="16"/>
        <v>2</v>
      </c>
      <c r="J377" s="25">
        <f t="shared" si="17"/>
        <v>14</v>
      </c>
      <c r="K377" s="5">
        <v>2012</v>
      </c>
      <c r="L377" s="25">
        <v>2026</v>
      </c>
      <c r="M377" s="25" t="s">
        <v>16</v>
      </c>
    </row>
    <row r="378" spans="1:13" ht="15.75" x14ac:dyDescent="0.25">
      <c r="A378" s="25">
        <v>375</v>
      </c>
      <c r="B378" s="5">
        <v>16812</v>
      </c>
      <c r="C378" s="6" t="s">
        <v>552</v>
      </c>
      <c r="D378" s="5">
        <v>45</v>
      </c>
      <c r="E378" s="29"/>
      <c r="F378" s="25"/>
      <c r="G378" s="25">
        <f>(D378-F378)</f>
        <v>45</v>
      </c>
      <c r="H378" s="27">
        <f t="shared" si="15"/>
        <v>42.75</v>
      </c>
      <c r="I378" s="28">
        <f t="shared" si="16"/>
        <v>2.25</v>
      </c>
      <c r="J378" s="25">
        <f t="shared" si="17"/>
        <v>14</v>
      </c>
      <c r="K378" s="5">
        <v>2012</v>
      </c>
      <c r="L378" s="25">
        <v>2026</v>
      </c>
      <c r="M378" s="25" t="s">
        <v>16</v>
      </c>
    </row>
    <row r="379" spans="1:13" ht="15.75" x14ac:dyDescent="0.25">
      <c r="A379" s="25">
        <v>376</v>
      </c>
      <c r="B379" s="5">
        <v>16872</v>
      </c>
      <c r="C379" s="6" t="s">
        <v>749</v>
      </c>
      <c r="D379" s="5">
        <v>75</v>
      </c>
      <c r="E379" s="29"/>
      <c r="F379" s="25"/>
      <c r="G379" s="25">
        <f>(D379-F379)</f>
        <v>75</v>
      </c>
      <c r="H379" s="27">
        <f t="shared" si="15"/>
        <v>71.25</v>
      </c>
      <c r="I379" s="28">
        <f t="shared" si="16"/>
        <v>3.75</v>
      </c>
      <c r="J379" s="25">
        <f t="shared" si="17"/>
        <v>14</v>
      </c>
      <c r="K379" s="5">
        <v>2012</v>
      </c>
      <c r="L379" s="25">
        <v>2026</v>
      </c>
      <c r="M379" s="25" t="s">
        <v>16</v>
      </c>
    </row>
    <row r="380" spans="1:13" ht="15.75" x14ac:dyDescent="0.25">
      <c r="A380" s="25">
        <v>377</v>
      </c>
      <c r="B380" s="5">
        <v>16930</v>
      </c>
      <c r="C380" s="6" t="s">
        <v>750</v>
      </c>
      <c r="D380" s="5">
        <v>95</v>
      </c>
      <c r="E380" s="29"/>
      <c r="F380" s="25"/>
      <c r="G380" s="25">
        <f>(D380-F380)</f>
        <v>95</v>
      </c>
      <c r="H380" s="27">
        <f t="shared" si="15"/>
        <v>90.25</v>
      </c>
      <c r="I380" s="28">
        <f t="shared" si="16"/>
        <v>4.75</v>
      </c>
      <c r="J380" s="25">
        <f t="shared" si="17"/>
        <v>35</v>
      </c>
      <c r="K380" s="5">
        <v>1991</v>
      </c>
      <c r="L380" s="25">
        <v>2026</v>
      </c>
      <c r="M380" s="25" t="s">
        <v>16</v>
      </c>
    </row>
    <row r="381" spans="1:13" ht="15.75" x14ac:dyDescent="0.25">
      <c r="A381" s="25">
        <v>378</v>
      </c>
      <c r="B381" s="5">
        <v>16963</v>
      </c>
      <c r="C381" s="6" t="s">
        <v>751</v>
      </c>
      <c r="D381" s="6">
        <v>100</v>
      </c>
      <c r="E381" s="29"/>
      <c r="F381" s="25"/>
      <c r="G381" s="25">
        <f>(D381-F381)</f>
        <v>100</v>
      </c>
      <c r="H381" s="27">
        <f t="shared" si="15"/>
        <v>95</v>
      </c>
      <c r="I381" s="28">
        <f t="shared" si="16"/>
        <v>5</v>
      </c>
      <c r="J381" s="25">
        <f t="shared" si="17"/>
        <v>14</v>
      </c>
      <c r="K381" s="6">
        <v>2012</v>
      </c>
      <c r="L381" s="25">
        <v>2026</v>
      </c>
      <c r="M381" s="25" t="s">
        <v>16</v>
      </c>
    </row>
    <row r="382" spans="1:13" ht="15.75" x14ac:dyDescent="0.25">
      <c r="A382" s="25">
        <v>379</v>
      </c>
      <c r="B382" s="5">
        <v>16964</v>
      </c>
      <c r="C382" s="6" t="s">
        <v>752</v>
      </c>
      <c r="D382" s="6">
        <v>100</v>
      </c>
      <c r="E382" s="29"/>
      <c r="F382" s="25"/>
      <c r="G382" s="25">
        <f>(D382-F382)</f>
        <v>100</v>
      </c>
      <c r="H382" s="27">
        <f t="shared" si="15"/>
        <v>95</v>
      </c>
      <c r="I382" s="28">
        <f t="shared" si="16"/>
        <v>5</v>
      </c>
      <c r="J382" s="25">
        <f t="shared" si="17"/>
        <v>14</v>
      </c>
      <c r="K382" s="5">
        <v>2012</v>
      </c>
      <c r="L382" s="25">
        <v>2026</v>
      </c>
      <c r="M382" s="25" t="s">
        <v>16</v>
      </c>
    </row>
    <row r="383" spans="1:13" ht="15.75" x14ac:dyDescent="0.25">
      <c r="A383" s="25">
        <v>380</v>
      </c>
      <c r="B383" s="5">
        <v>16965</v>
      </c>
      <c r="C383" s="6" t="s">
        <v>753</v>
      </c>
      <c r="D383" s="5">
        <v>100</v>
      </c>
      <c r="E383" s="29"/>
      <c r="F383" s="25"/>
      <c r="G383" s="25">
        <f>(D383-F383)</f>
        <v>100</v>
      </c>
      <c r="H383" s="27">
        <f t="shared" si="15"/>
        <v>95</v>
      </c>
      <c r="I383" s="28">
        <f t="shared" si="16"/>
        <v>5</v>
      </c>
      <c r="J383" s="25">
        <f t="shared" si="17"/>
        <v>13</v>
      </c>
      <c r="K383" s="5">
        <v>2013</v>
      </c>
      <c r="L383" s="25">
        <v>2026</v>
      </c>
      <c r="M383" s="25" t="s">
        <v>16</v>
      </c>
    </row>
    <row r="384" spans="1:13" ht="15.75" x14ac:dyDescent="0.25">
      <c r="A384" s="25">
        <v>381</v>
      </c>
      <c r="B384" s="5">
        <v>16968</v>
      </c>
      <c r="C384" s="6" t="s">
        <v>754</v>
      </c>
      <c r="D384" s="6">
        <v>100</v>
      </c>
      <c r="E384" s="29"/>
      <c r="F384" s="25"/>
      <c r="G384" s="25">
        <f>(D384-F384)</f>
        <v>100</v>
      </c>
      <c r="H384" s="27">
        <f t="shared" si="15"/>
        <v>95</v>
      </c>
      <c r="I384" s="28">
        <f t="shared" si="16"/>
        <v>5</v>
      </c>
      <c r="J384" s="25">
        <f t="shared" si="17"/>
        <v>14</v>
      </c>
      <c r="K384" s="6">
        <v>2012</v>
      </c>
      <c r="L384" s="25">
        <v>2026</v>
      </c>
      <c r="M384" s="25" t="s">
        <v>16</v>
      </c>
    </row>
    <row r="385" spans="1:13" ht="15.75" x14ac:dyDescent="0.25">
      <c r="A385" s="25">
        <v>382</v>
      </c>
      <c r="B385" s="5">
        <v>16970</v>
      </c>
      <c r="C385" s="6" t="s">
        <v>755</v>
      </c>
      <c r="D385" s="5">
        <v>100</v>
      </c>
      <c r="E385" s="29"/>
      <c r="F385" s="25"/>
      <c r="G385" s="25">
        <f>(D385-F385)</f>
        <v>100</v>
      </c>
      <c r="H385" s="27">
        <f t="shared" si="15"/>
        <v>95</v>
      </c>
      <c r="I385" s="28">
        <f t="shared" si="16"/>
        <v>5</v>
      </c>
      <c r="J385" s="25">
        <f t="shared" si="17"/>
        <v>14</v>
      </c>
      <c r="K385" s="5">
        <v>2012</v>
      </c>
      <c r="L385" s="25">
        <v>2026</v>
      </c>
      <c r="M385" s="25" t="s">
        <v>16</v>
      </c>
    </row>
    <row r="386" spans="1:13" ht="15.75" x14ac:dyDescent="0.25">
      <c r="A386" s="25">
        <v>383</v>
      </c>
      <c r="B386" s="5">
        <v>16982</v>
      </c>
      <c r="C386" s="6" t="s">
        <v>756</v>
      </c>
      <c r="D386" s="6">
        <v>100</v>
      </c>
      <c r="E386" s="29"/>
      <c r="F386" s="25"/>
      <c r="G386" s="25">
        <f>(D386-F386)</f>
        <v>100</v>
      </c>
      <c r="H386" s="27">
        <f t="shared" si="15"/>
        <v>95</v>
      </c>
      <c r="I386" s="28">
        <f t="shared" si="16"/>
        <v>5</v>
      </c>
      <c r="J386" s="25">
        <f t="shared" si="17"/>
        <v>14</v>
      </c>
      <c r="K386" s="6">
        <v>2012</v>
      </c>
      <c r="L386" s="25">
        <v>2026</v>
      </c>
      <c r="M386" s="25" t="s">
        <v>16</v>
      </c>
    </row>
    <row r="387" spans="1:13" ht="15.75" x14ac:dyDescent="0.25">
      <c r="A387" s="25">
        <v>384</v>
      </c>
      <c r="B387" s="5">
        <v>16987</v>
      </c>
      <c r="C387" s="6" t="s">
        <v>757</v>
      </c>
      <c r="D387" s="6">
        <v>100</v>
      </c>
      <c r="E387" s="29"/>
      <c r="F387" s="25"/>
      <c r="G387" s="25">
        <f>(D387-F387)</f>
        <v>100</v>
      </c>
      <c r="H387" s="27">
        <f t="shared" si="15"/>
        <v>95</v>
      </c>
      <c r="I387" s="28">
        <f t="shared" si="16"/>
        <v>5</v>
      </c>
      <c r="J387" s="25">
        <f t="shared" si="17"/>
        <v>14</v>
      </c>
      <c r="K387" s="6">
        <v>2012</v>
      </c>
      <c r="L387" s="25">
        <v>2026</v>
      </c>
      <c r="M387" s="25" t="s">
        <v>16</v>
      </c>
    </row>
    <row r="388" spans="1:13" ht="15.75" x14ac:dyDescent="0.25">
      <c r="A388" s="25">
        <v>385</v>
      </c>
      <c r="B388" s="5">
        <v>16989</v>
      </c>
      <c r="C388" s="6" t="s">
        <v>758</v>
      </c>
      <c r="D388" s="6">
        <v>100</v>
      </c>
      <c r="E388" s="29"/>
      <c r="F388" s="25"/>
      <c r="G388" s="25">
        <f>(D388-F388)</f>
        <v>100</v>
      </c>
      <c r="H388" s="27">
        <f t="shared" ref="H388:H433" si="18">(G388*0.95)</f>
        <v>95</v>
      </c>
      <c r="I388" s="28">
        <f t="shared" ref="I388:I433" si="19">(G388-H388)</f>
        <v>5</v>
      </c>
      <c r="J388" s="25">
        <f t="shared" ref="J388:J433" si="20">(L388-K388)</f>
        <v>14</v>
      </c>
      <c r="K388" s="6">
        <v>2012</v>
      </c>
      <c r="L388" s="25">
        <v>2026</v>
      </c>
      <c r="M388" s="25" t="s">
        <v>16</v>
      </c>
    </row>
    <row r="389" spans="1:13" ht="15.75" x14ac:dyDescent="0.25">
      <c r="A389" s="25">
        <v>386</v>
      </c>
      <c r="B389" s="6">
        <v>17020</v>
      </c>
      <c r="C389" s="6" t="s">
        <v>759</v>
      </c>
      <c r="D389" s="6">
        <v>450</v>
      </c>
      <c r="E389" s="29"/>
      <c r="F389" s="25"/>
      <c r="G389" s="25">
        <f>(D389-F389)</f>
        <v>450</v>
      </c>
      <c r="H389" s="27">
        <f t="shared" si="18"/>
        <v>427.5</v>
      </c>
      <c r="I389" s="28">
        <f t="shared" si="19"/>
        <v>22.5</v>
      </c>
      <c r="J389" s="25">
        <f t="shared" si="20"/>
        <v>14</v>
      </c>
      <c r="K389" s="6">
        <v>2012</v>
      </c>
      <c r="L389" s="25">
        <v>2026</v>
      </c>
      <c r="M389" s="25" t="s">
        <v>16</v>
      </c>
    </row>
    <row r="390" spans="1:13" ht="15.75" x14ac:dyDescent="0.25">
      <c r="A390" s="25">
        <v>387</v>
      </c>
      <c r="B390" s="5">
        <v>17079</v>
      </c>
      <c r="C390" s="6" t="s">
        <v>760</v>
      </c>
      <c r="D390" s="6">
        <v>35</v>
      </c>
      <c r="E390" s="29"/>
      <c r="F390" s="25"/>
      <c r="G390" s="25">
        <f>(D390-F390)</f>
        <v>35</v>
      </c>
      <c r="H390" s="27">
        <f t="shared" si="18"/>
        <v>33.25</v>
      </c>
      <c r="I390" s="28">
        <f t="shared" si="19"/>
        <v>1.75</v>
      </c>
      <c r="J390" s="25">
        <f t="shared" si="20"/>
        <v>13</v>
      </c>
      <c r="K390" s="6">
        <v>2013</v>
      </c>
      <c r="L390" s="25">
        <v>2026</v>
      </c>
      <c r="M390" s="25" t="s">
        <v>16</v>
      </c>
    </row>
    <row r="391" spans="1:13" ht="15.75" x14ac:dyDescent="0.25">
      <c r="A391" s="25">
        <v>388</v>
      </c>
      <c r="B391" s="6">
        <v>17117</v>
      </c>
      <c r="C391" s="6" t="s">
        <v>761</v>
      </c>
      <c r="D391" s="6">
        <v>90</v>
      </c>
      <c r="E391" s="29"/>
      <c r="F391" s="25"/>
      <c r="G391" s="25">
        <f>(D391-F391)</f>
        <v>90</v>
      </c>
      <c r="H391" s="27">
        <f t="shared" si="18"/>
        <v>85.5</v>
      </c>
      <c r="I391" s="28">
        <f t="shared" si="19"/>
        <v>4.5</v>
      </c>
      <c r="J391" s="25">
        <f t="shared" si="20"/>
        <v>13</v>
      </c>
      <c r="K391" s="6">
        <v>2013</v>
      </c>
      <c r="L391" s="25">
        <v>2026</v>
      </c>
      <c r="M391" s="25" t="s">
        <v>16</v>
      </c>
    </row>
    <row r="392" spans="1:13" ht="15.75" x14ac:dyDescent="0.25">
      <c r="A392" s="25">
        <v>389</v>
      </c>
      <c r="B392" s="9">
        <v>17227</v>
      </c>
      <c r="C392" s="9" t="s">
        <v>762</v>
      </c>
      <c r="D392" s="9">
        <v>52</v>
      </c>
      <c r="E392" s="29"/>
      <c r="F392" s="25"/>
      <c r="G392" s="25">
        <f>(D392-F392)</f>
        <v>52</v>
      </c>
      <c r="H392" s="27">
        <f t="shared" si="18"/>
        <v>49.4</v>
      </c>
      <c r="I392" s="28">
        <f t="shared" si="19"/>
        <v>2.6000000000000014</v>
      </c>
      <c r="J392" s="25">
        <f t="shared" si="20"/>
        <v>13</v>
      </c>
      <c r="K392" s="9">
        <v>2013</v>
      </c>
      <c r="L392" s="25">
        <v>2026</v>
      </c>
      <c r="M392" s="25" t="s">
        <v>16</v>
      </c>
    </row>
    <row r="393" spans="1:13" ht="15.75" x14ac:dyDescent="0.25">
      <c r="A393" s="25">
        <v>390</v>
      </c>
      <c r="B393" s="9">
        <v>17228</v>
      </c>
      <c r="C393" s="9" t="s">
        <v>763</v>
      </c>
      <c r="D393" s="9">
        <v>52</v>
      </c>
      <c r="E393" s="29"/>
      <c r="F393" s="25"/>
      <c r="G393" s="25">
        <f>(D393-F393)</f>
        <v>52</v>
      </c>
      <c r="H393" s="27">
        <f t="shared" si="18"/>
        <v>49.4</v>
      </c>
      <c r="I393" s="28">
        <f t="shared" si="19"/>
        <v>2.6000000000000014</v>
      </c>
      <c r="J393" s="25">
        <f t="shared" si="20"/>
        <v>13</v>
      </c>
      <c r="K393" s="9">
        <v>2013</v>
      </c>
      <c r="L393" s="25">
        <v>2026</v>
      </c>
      <c r="M393" s="25" t="s">
        <v>16</v>
      </c>
    </row>
    <row r="394" spans="1:13" ht="15.75" x14ac:dyDescent="0.25">
      <c r="A394" s="25">
        <v>391</v>
      </c>
      <c r="B394" s="9">
        <v>17229</v>
      </c>
      <c r="C394" s="9" t="s">
        <v>764</v>
      </c>
      <c r="D394" s="9">
        <v>40</v>
      </c>
      <c r="E394" s="29"/>
      <c r="F394" s="25"/>
      <c r="G394" s="25">
        <f>(D394-F394)</f>
        <v>40</v>
      </c>
      <c r="H394" s="27">
        <f t="shared" si="18"/>
        <v>38</v>
      </c>
      <c r="I394" s="28">
        <f t="shared" si="19"/>
        <v>2</v>
      </c>
      <c r="J394" s="25">
        <f t="shared" si="20"/>
        <v>13</v>
      </c>
      <c r="K394" s="9">
        <v>2013</v>
      </c>
      <c r="L394" s="25">
        <v>2026</v>
      </c>
      <c r="M394" s="25" t="s">
        <v>16</v>
      </c>
    </row>
    <row r="395" spans="1:13" ht="15.75" x14ac:dyDescent="0.25">
      <c r="A395" s="25">
        <v>392</v>
      </c>
      <c r="B395" s="9">
        <v>17230</v>
      </c>
      <c r="C395" s="9" t="s">
        <v>765</v>
      </c>
      <c r="D395" s="9">
        <v>40</v>
      </c>
      <c r="E395" s="29"/>
      <c r="F395" s="25"/>
      <c r="G395" s="25">
        <f>(D395-F395)</f>
        <v>40</v>
      </c>
      <c r="H395" s="27">
        <f t="shared" si="18"/>
        <v>38</v>
      </c>
      <c r="I395" s="28">
        <f t="shared" si="19"/>
        <v>2</v>
      </c>
      <c r="J395" s="25">
        <f t="shared" si="20"/>
        <v>13</v>
      </c>
      <c r="K395" s="9">
        <v>2013</v>
      </c>
      <c r="L395" s="25">
        <v>2026</v>
      </c>
      <c r="M395" s="25" t="s">
        <v>16</v>
      </c>
    </row>
    <row r="396" spans="1:13" ht="15.75" x14ac:dyDescent="0.25">
      <c r="A396" s="25">
        <v>393</v>
      </c>
      <c r="B396" s="9">
        <v>17231</v>
      </c>
      <c r="C396" s="9" t="s">
        <v>766</v>
      </c>
      <c r="D396" s="9">
        <v>44</v>
      </c>
      <c r="E396" s="29"/>
      <c r="F396" s="25"/>
      <c r="G396" s="25">
        <f>(D396-F396)</f>
        <v>44</v>
      </c>
      <c r="H396" s="27">
        <f t="shared" si="18"/>
        <v>41.8</v>
      </c>
      <c r="I396" s="28">
        <f t="shared" si="19"/>
        <v>2.2000000000000028</v>
      </c>
      <c r="J396" s="25">
        <f t="shared" si="20"/>
        <v>13</v>
      </c>
      <c r="K396" s="9">
        <v>2013</v>
      </c>
      <c r="L396" s="25">
        <v>2026</v>
      </c>
      <c r="M396" s="25" t="s">
        <v>16</v>
      </c>
    </row>
    <row r="397" spans="1:13" ht="15.75" x14ac:dyDescent="0.25">
      <c r="A397" s="25">
        <v>394</v>
      </c>
      <c r="B397" s="9">
        <v>17232</v>
      </c>
      <c r="C397" s="9" t="s">
        <v>766</v>
      </c>
      <c r="D397" s="9">
        <v>44</v>
      </c>
      <c r="E397" s="29"/>
      <c r="F397" s="25"/>
      <c r="G397" s="25">
        <f>(D397-F397)</f>
        <v>44</v>
      </c>
      <c r="H397" s="27">
        <f t="shared" si="18"/>
        <v>41.8</v>
      </c>
      <c r="I397" s="28">
        <f t="shared" si="19"/>
        <v>2.2000000000000028</v>
      </c>
      <c r="J397" s="25">
        <f t="shared" si="20"/>
        <v>13</v>
      </c>
      <c r="K397" s="9">
        <v>2013</v>
      </c>
      <c r="L397" s="25">
        <v>2026</v>
      </c>
      <c r="M397" s="25" t="s">
        <v>16</v>
      </c>
    </row>
    <row r="398" spans="1:13" ht="15.75" x14ac:dyDescent="0.25">
      <c r="A398" s="25">
        <v>395</v>
      </c>
      <c r="B398" s="9">
        <v>17233</v>
      </c>
      <c r="C398" s="9" t="s">
        <v>767</v>
      </c>
      <c r="D398" s="9">
        <v>72</v>
      </c>
      <c r="E398" s="29"/>
      <c r="F398" s="25"/>
      <c r="G398" s="25">
        <f>(D398-F398)</f>
        <v>72</v>
      </c>
      <c r="H398" s="27">
        <f t="shared" si="18"/>
        <v>68.399999999999991</v>
      </c>
      <c r="I398" s="28">
        <f t="shared" si="19"/>
        <v>3.6000000000000085</v>
      </c>
      <c r="J398" s="25">
        <f t="shared" si="20"/>
        <v>13</v>
      </c>
      <c r="K398" s="9">
        <v>2013</v>
      </c>
      <c r="L398" s="25">
        <v>2026</v>
      </c>
      <c r="M398" s="25" t="s">
        <v>16</v>
      </c>
    </row>
    <row r="399" spans="1:13" ht="15.75" x14ac:dyDescent="0.25">
      <c r="A399" s="25">
        <v>396</v>
      </c>
      <c r="B399" s="9">
        <v>17235</v>
      </c>
      <c r="C399" s="9" t="s">
        <v>768</v>
      </c>
      <c r="D399" s="9">
        <v>76</v>
      </c>
      <c r="E399" s="29"/>
      <c r="F399" s="25"/>
      <c r="G399" s="25">
        <f>(D399-F399)</f>
        <v>76</v>
      </c>
      <c r="H399" s="27">
        <f t="shared" si="18"/>
        <v>72.2</v>
      </c>
      <c r="I399" s="28">
        <f t="shared" si="19"/>
        <v>3.7999999999999972</v>
      </c>
      <c r="J399" s="25">
        <f t="shared" si="20"/>
        <v>13</v>
      </c>
      <c r="K399" s="9">
        <v>2013</v>
      </c>
      <c r="L399" s="25">
        <v>2026</v>
      </c>
      <c r="M399" s="25" t="s">
        <v>16</v>
      </c>
    </row>
    <row r="400" spans="1:13" ht="15.75" x14ac:dyDescent="0.25">
      <c r="A400" s="25">
        <v>397</v>
      </c>
      <c r="B400" s="9">
        <v>17236</v>
      </c>
      <c r="C400" s="9" t="s">
        <v>769</v>
      </c>
      <c r="D400" s="9">
        <v>76</v>
      </c>
      <c r="E400" s="29"/>
      <c r="F400" s="25"/>
      <c r="G400" s="25">
        <f>(D400-F400)</f>
        <v>76</v>
      </c>
      <c r="H400" s="27">
        <f t="shared" si="18"/>
        <v>72.2</v>
      </c>
      <c r="I400" s="28">
        <f t="shared" si="19"/>
        <v>3.7999999999999972</v>
      </c>
      <c r="J400" s="25">
        <f t="shared" si="20"/>
        <v>13</v>
      </c>
      <c r="K400" s="9">
        <v>2013</v>
      </c>
      <c r="L400" s="25">
        <v>2026</v>
      </c>
      <c r="M400" s="25" t="s">
        <v>16</v>
      </c>
    </row>
    <row r="401" spans="1:13" ht="15.75" x14ac:dyDescent="0.25">
      <c r="A401" s="25">
        <v>398</v>
      </c>
      <c r="B401" s="9">
        <v>17237</v>
      </c>
      <c r="C401" s="9" t="s">
        <v>770</v>
      </c>
      <c r="D401" s="9">
        <v>52</v>
      </c>
      <c r="E401" s="29"/>
      <c r="F401" s="25"/>
      <c r="G401" s="25">
        <f>(D401-F401)</f>
        <v>52</v>
      </c>
      <c r="H401" s="27">
        <f t="shared" si="18"/>
        <v>49.4</v>
      </c>
      <c r="I401" s="28">
        <f t="shared" si="19"/>
        <v>2.6000000000000014</v>
      </c>
      <c r="J401" s="25">
        <f t="shared" si="20"/>
        <v>13</v>
      </c>
      <c r="K401" s="9">
        <v>2013</v>
      </c>
      <c r="L401" s="25">
        <v>2026</v>
      </c>
      <c r="M401" s="25" t="s">
        <v>16</v>
      </c>
    </row>
    <row r="402" spans="1:13" ht="15.75" x14ac:dyDescent="0.25">
      <c r="A402" s="25">
        <v>399</v>
      </c>
      <c r="B402" s="5">
        <v>17238</v>
      </c>
      <c r="C402" s="6" t="s">
        <v>771</v>
      </c>
      <c r="D402" s="6">
        <v>52</v>
      </c>
      <c r="E402" s="29"/>
      <c r="F402" s="25"/>
      <c r="G402" s="25">
        <f>(D402-F402)</f>
        <v>52</v>
      </c>
      <c r="H402" s="27">
        <f t="shared" si="18"/>
        <v>49.4</v>
      </c>
      <c r="I402" s="28">
        <f t="shared" si="19"/>
        <v>2.6000000000000014</v>
      </c>
      <c r="J402" s="25">
        <f t="shared" si="20"/>
        <v>13</v>
      </c>
      <c r="K402" s="6">
        <v>2013</v>
      </c>
      <c r="L402" s="25">
        <v>2026</v>
      </c>
      <c r="M402" s="25" t="s">
        <v>16</v>
      </c>
    </row>
    <row r="403" spans="1:13" ht="15.75" x14ac:dyDescent="0.25">
      <c r="A403" s="25">
        <v>400</v>
      </c>
      <c r="B403" s="6">
        <v>17239</v>
      </c>
      <c r="C403" s="6" t="s">
        <v>772</v>
      </c>
      <c r="D403" s="6">
        <v>42</v>
      </c>
      <c r="E403" s="29"/>
      <c r="F403" s="25"/>
      <c r="G403" s="25">
        <f>(D403-F403)</f>
        <v>42</v>
      </c>
      <c r="H403" s="27">
        <f t="shared" si="18"/>
        <v>39.9</v>
      </c>
      <c r="I403" s="28">
        <f t="shared" si="19"/>
        <v>2.1000000000000014</v>
      </c>
      <c r="J403" s="25">
        <f t="shared" si="20"/>
        <v>13</v>
      </c>
      <c r="K403" s="6">
        <v>2013</v>
      </c>
      <c r="L403" s="25">
        <v>2026</v>
      </c>
      <c r="M403" s="25" t="s">
        <v>16</v>
      </c>
    </row>
    <row r="404" spans="1:13" ht="15.75" x14ac:dyDescent="0.25">
      <c r="A404" s="25">
        <v>401</v>
      </c>
      <c r="B404" s="5">
        <v>17240</v>
      </c>
      <c r="C404" s="6" t="s">
        <v>772</v>
      </c>
      <c r="D404" s="6">
        <v>42</v>
      </c>
      <c r="E404" s="29"/>
      <c r="F404" s="25"/>
      <c r="G404" s="25">
        <f>(D404-F404)</f>
        <v>42</v>
      </c>
      <c r="H404" s="27">
        <f t="shared" si="18"/>
        <v>39.9</v>
      </c>
      <c r="I404" s="28">
        <f t="shared" si="19"/>
        <v>2.1000000000000014</v>
      </c>
      <c r="J404" s="25">
        <f t="shared" si="20"/>
        <v>13</v>
      </c>
      <c r="K404" s="6">
        <v>2013</v>
      </c>
      <c r="L404" s="25">
        <v>2026</v>
      </c>
      <c r="M404" s="25" t="s">
        <v>16</v>
      </c>
    </row>
    <row r="405" spans="1:13" ht="15.75" x14ac:dyDescent="0.25">
      <c r="A405" s="25">
        <v>402</v>
      </c>
      <c r="B405" s="5">
        <v>17241</v>
      </c>
      <c r="C405" s="6" t="s">
        <v>773</v>
      </c>
      <c r="D405" s="6">
        <v>48</v>
      </c>
      <c r="E405" s="29"/>
      <c r="F405" s="25"/>
      <c r="G405" s="25">
        <f>(D405-F405)</f>
        <v>48</v>
      </c>
      <c r="H405" s="27">
        <f t="shared" si="18"/>
        <v>45.599999999999994</v>
      </c>
      <c r="I405" s="28">
        <f t="shared" si="19"/>
        <v>2.4000000000000057</v>
      </c>
      <c r="J405" s="25">
        <f t="shared" si="20"/>
        <v>13</v>
      </c>
      <c r="K405" s="6">
        <v>2013</v>
      </c>
      <c r="L405" s="25">
        <v>2026</v>
      </c>
      <c r="M405" s="25" t="s">
        <v>16</v>
      </c>
    </row>
    <row r="406" spans="1:13" ht="15.75" x14ac:dyDescent="0.25">
      <c r="A406" s="25">
        <v>403</v>
      </c>
      <c r="B406" s="9">
        <v>17243</v>
      </c>
      <c r="C406" s="9" t="s">
        <v>546</v>
      </c>
      <c r="D406" s="9">
        <v>52</v>
      </c>
      <c r="E406" s="29"/>
      <c r="F406" s="25"/>
      <c r="G406" s="25">
        <f>(D406-F406)</f>
        <v>52</v>
      </c>
      <c r="H406" s="27">
        <f t="shared" si="18"/>
        <v>49.4</v>
      </c>
      <c r="I406" s="28">
        <f t="shared" si="19"/>
        <v>2.6000000000000014</v>
      </c>
      <c r="J406" s="25">
        <f t="shared" si="20"/>
        <v>13</v>
      </c>
      <c r="K406" s="9">
        <v>2013</v>
      </c>
      <c r="L406" s="25">
        <v>2026</v>
      </c>
      <c r="M406" s="25" t="s">
        <v>16</v>
      </c>
    </row>
    <row r="407" spans="1:13" ht="15.75" x14ac:dyDescent="0.25">
      <c r="A407" s="25">
        <v>404</v>
      </c>
      <c r="B407" s="9">
        <v>17244</v>
      </c>
      <c r="C407" s="9" t="s">
        <v>546</v>
      </c>
      <c r="D407" s="9">
        <v>52</v>
      </c>
      <c r="E407" s="29"/>
      <c r="F407" s="25"/>
      <c r="G407" s="25">
        <f>(D407-F407)</f>
        <v>52</v>
      </c>
      <c r="H407" s="27">
        <f t="shared" si="18"/>
        <v>49.4</v>
      </c>
      <c r="I407" s="28">
        <f t="shared" si="19"/>
        <v>2.6000000000000014</v>
      </c>
      <c r="J407" s="25">
        <f t="shared" si="20"/>
        <v>13</v>
      </c>
      <c r="K407" s="9">
        <v>2013</v>
      </c>
      <c r="L407" s="25">
        <v>2026</v>
      </c>
      <c r="M407" s="25" t="s">
        <v>16</v>
      </c>
    </row>
    <row r="408" spans="1:13" ht="15.75" x14ac:dyDescent="0.25">
      <c r="A408" s="25">
        <v>405</v>
      </c>
      <c r="B408" s="9">
        <v>17246</v>
      </c>
      <c r="C408" s="9" t="s">
        <v>513</v>
      </c>
      <c r="D408" s="9">
        <v>44</v>
      </c>
      <c r="E408" s="29"/>
      <c r="F408" s="25"/>
      <c r="G408" s="25">
        <f>(D408-F408)</f>
        <v>44</v>
      </c>
      <c r="H408" s="27">
        <f t="shared" si="18"/>
        <v>41.8</v>
      </c>
      <c r="I408" s="28">
        <f t="shared" si="19"/>
        <v>2.2000000000000028</v>
      </c>
      <c r="J408" s="25">
        <f t="shared" si="20"/>
        <v>13</v>
      </c>
      <c r="K408" s="9">
        <v>2013</v>
      </c>
      <c r="L408" s="25">
        <v>2026</v>
      </c>
      <c r="M408" s="25" t="s">
        <v>16</v>
      </c>
    </row>
    <row r="409" spans="1:13" ht="15.75" x14ac:dyDescent="0.25">
      <c r="A409" s="25">
        <v>406</v>
      </c>
      <c r="B409" s="9">
        <v>17248</v>
      </c>
      <c r="C409" s="9" t="s">
        <v>512</v>
      </c>
      <c r="D409" s="9">
        <v>30</v>
      </c>
      <c r="E409" s="29"/>
      <c r="F409" s="25"/>
      <c r="G409" s="25">
        <f>(D409-F409)</f>
        <v>30</v>
      </c>
      <c r="H409" s="27">
        <f t="shared" si="18"/>
        <v>28.5</v>
      </c>
      <c r="I409" s="28">
        <f t="shared" si="19"/>
        <v>1.5</v>
      </c>
      <c r="J409" s="25">
        <f t="shared" si="20"/>
        <v>13</v>
      </c>
      <c r="K409" s="9">
        <v>2013</v>
      </c>
      <c r="L409" s="25">
        <v>2026</v>
      </c>
      <c r="M409" s="25" t="s">
        <v>16</v>
      </c>
    </row>
    <row r="410" spans="1:13" ht="15.75" x14ac:dyDescent="0.25">
      <c r="A410" s="25">
        <v>407</v>
      </c>
      <c r="B410" s="9">
        <v>17249</v>
      </c>
      <c r="C410" s="9" t="s">
        <v>517</v>
      </c>
      <c r="D410" s="9">
        <v>52</v>
      </c>
      <c r="E410" s="29"/>
      <c r="F410" s="25"/>
      <c r="G410" s="25">
        <f>(D410-F410)</f>
        <v>52</v>
      </c>
      <c r="H410" s="27">
        <f t="shared" si="18"/>
        <v>49.4</v>
      </c>
      <c r="I410" s="28">
        <f t="shared" si="19"/>
        <v>2.6000000000000014</v>
      </c>
      <c r="J410" s="25">
        <f t="shared" si="20"/>
        <v>13</v>
      </c>
      <c r="K410" s="9">
        <v>2013</v>
      </c>
      <c r="L410" s="25">
        <v>2026</v>
      </c>
      <c r="M410" s="25" t="s">
        <v>16</v>
      </c>
    </row>
    <row r="411" spans="1:13" ht="15.75" x14ac:dyDescent="0.25">
      <c r="A411" s="25">
        <v>408</v>
      </c>
      <c r="B411" s="9">
        <v>17250</v>
      </c>
      <c r="C411" s="9" t="s">
        <v>517</v>
      </c>
      <c r="D411" s="9">
        <v>52</v>
      </c>
      <c r="E411" s="29"/>
      <c r="F411" s="25"/>
      <c r="G411" s="25">
        <f>(D411-F411)</f>
        <v>52</v>
      </c>
      <c r="H411" s="27">
        <f t="shared" si="18"/>
        <v>49.4</v>
      </c>
      <c r="I411" s="28">
        <f t="shared" si="19"/>
        <v>2.6000000000000014</v>
      </c>
      <c r="J411" s="25">
        <f t="shared" si="20"/>
        <v>13</v>
      </c>
      <c r="K411" s="9">
        <v>2013</v>
      </c>
      <c r="L411" s="25">
        <v>2026</v>
      </c>
      <c r="M411" s="25" t="s">
        <v>16</v>
      </c>
    </row>
    <row r="412" spans="1:13" ht="15.75" x14ac:dyDescent="0.25">
      <c r="A412" s="25">
        <v>409</v>
      </c>
      <c r="B412" s="9">
        <v>17251</v>
      </c>
      <c r="C412" s="9" t="s">
        <v>774</v>
      </c>
      <c r="D412" s="9">
        <v>56</v>
      </c>
      <c r="E412" s="29"/>
      <c r="F412" s="25"/>
      <c r="G412" s="25">
        <f>(D412-F412)</f>
        <v>56</v>
      </c>
      <c r="H412" s="27">
        <f t="shared" si="18"/>
        <v>53.199999999999996</v>
      </c>
      <c r="I412" s="28">
        <f t="shared" si="19"/>
        <v>2.8000000000000043</v>
      </c>
      <c r="J412" s="25">
        <f t="shared" si="20"/>
        <v>13</v>
      </c>
      <c r="K412" s="9">
        <v>2013</v>
      </c>
      <c r="L412" s="25">
        <v>2026</v>
      </c>
      <c r="M412" s="25" t="s">
        <v>16</v>
      </c>
    </row>
    <row r="413" spans="1:13" ht="15.75" x14ac:dyDescent="0.25">
      <c r="A413" s="25">
        <v>410</v>
      </c>
      <c r="B413" s="6">
        <v>17254</v>
      </c>
      <c r="C413" s="6" t="s">
        <v>775</v>
      </c>
      <c r="D413" s="6">
        <v>46</v>
      </c>
      <c r="E413" s="29"/>
      <c r="F413" s="25"/>
      <c r="G413" s="25">
        <f>(D413-F413)</f>
        <v>46</v>
      </c>
      <c r="H413" s="27">
        <f t="shared" si="18"/>
        <v>43.699999999999996</v>
      </c>
      <c r="I413" s="28">
        <f t="shared" si="19"/>
        <v>2.3000000000000043</v>
      </c>
      <c r="J413" s="25">
        <f t="shared" si="20"/>
        <v>13</v>
      </c>
      <c r="K413" s="6">
        <v>2013</v>
      </c>
      <c r="L413" s="25">
        <v>2026</v>
      </c>
      <c r="M413" s="25" t="s">
        <v>16</v>
      </c>
    </row>
    <row r="414" spans="1:13" ht="15.75" x14ac:dyDescent="0.25">
      <c r="A414" s="25">
        <v>411</v>
      </c>
      <c r="B414" s="9">
        <v>17255</v>
      </c>
      <c r="C414" s="9" t="s">
        <v>776</v>
      </c>
      <c r="D414" s="9">
        <v>56</v>
      </c>
      <c r="E414" s="29"/>
      <c r="F414" s="25"/>
      <c r="G414" s="25">
        <f>(D414-F414)</f>
        <v>56</v>
      </c>
      <c r="H414" s="27">
        <f t="shared" si="18"/>
        <v>53.199999999999996</v>
      </c>
      <c r="I414" s="28">
        <f t="shared" si="19"/>
        <v>2.8000000000000043</v>
      </c>
      <c r="J414" s="25">
        <f t="shared" si="20"/>
        <v>13</v>
      </c>
      <c r="K414" s="9">
        <v>2013</v>
      </c>
      <c r="L414" s="25">
        <v>2026</v>
      </c>
      <c r="M414" s="25" t="s">
        <v>16</v>
      </c>
    </row>
    <row r="415" spans="1:13" ht="15.75" x14ac:dyDescent="0.25">
      <c r="A415" s="25">
        <v>412</v>
      </c>
      <c r="B415" s="9">
        <v>17258</v>
      </c>
      <c r="C415" s="9" t="s">
        <v>777</v>
      </c>
      <c r="D415" s="9">
        <v>60</v>
      </c>
      <c r="E415" s="29"/>
      <c r="F415" s="25"/>
      <c r="G415" s="25">
        <f>(D415-F415)</f>
        <v>60</v>
      </c>
      <c r="H415" s="27">
        <f t="shared" si="18"/>
        <v>57</v>
      </c>
      <c r="I415" s="28">
        <f t="shared" si="19"/>
        <v>3</v>
      </c>
      <c r="J415" s="25">
        <f t="shared" si="20"/>
        <v>13</v>
      </c>
      <c r="K415" s="9">
        <v>2013</v>
      </c>
      <c r="L415" s="25">
        <v>2026</v>
      </c>
      <c r="M415" s="25" t="s">
        <v>16</v>
      </c>
    </row>
    <row r="416" spans="1:13" ht="15.75" x14ac:dyDescent="0.25">
      <c r="A416" s="25">
        <v>413</v>
      </c>
      <c r="B416" s="9">
        <v>17259</v>
      </c>
      <c r="C416" s="9" t="s">
        <v>778</v>
      </c>
      <c r="D416" s="9">
        <v>56</v>
      </c>
      <c r="E416" s="29"/>
      <c r="F416" s="25"/>
      <c r="G416" s="25">
        <f>(D416-F416)</f>
        <v>56</v>
      </c>
      <c r="H416" s="27">
        <f t="shared" si="18"/>
        <v>53.199999999999996</v>
      </c>
      <c r="I416" s="28">
        <f t="shared" si="19"/>
        <v>2.8000000000000043</v>
      </c>
      <c r="J416" s="25">
        <f t="shared" si="20"/>
        <v>13</v>
      </c>
      <c r="K416" s="9">
        <v>2013</v>
      </c>
      <c r="L416" s="25">
        <v>2026</v>
      </c>
      <c r="M416" s="25" t="s">
        <v>16</v>
      </c>
    </row>
    <row r="417" spans="1:13" ht="15.75" x14ac:dyDescent="0.25">
      <c r="A417" s="25">
        <v>414</v>
      </c>
      <c r="B417" s="9">
        <v>17260</v>
      </c>
      <c r="C417" s="9" t="s">
        <v>779</v>
      </c>
      <c r="D417" s="9">
        <v>56</v>
      </c>
      <c r="E417" s="29"/>
      <c r="F417" s="25"/>
      <c r="G417" s="25">
        <f>(D417-F417)</f>
        <v>56</v>
      </c>
      <c r="H417" s="27">
        <f t="shared" si="18"/>
        <v>53.199999999999996</v>
      </c>
      <c r="I417" s="28">
        <f t="shared" si="19"/>
        <v>2.8000000000000043</v>
      </c>
      <c r="J417" s="25">
        <f t="shared" si="20"/>
        <v>13</v>
      </c>
      <c r="K417" s="9">
        <v>2013</v>
      </c>
      <c r="L417" s="25">
        <v>2026</v>
      </c>
      <c r="M417" s="25" t="s">
        <v>16</v>
      </c>
    </row>
    <row r="418" spans="1:13" ht="15.75" x14ac:dyDescent="0.25">
      <c r="A418" s="25">
        <v>415</v>
      </c>
      <c r="B418" s="9">
        <v>17261</v>
      </c>
      <c r="C418" s="9" t="s">
        <v>780</v>
      </c>
      <c r="D418" s="9">
        <v>48</v>
      </c>
      <c r="E418" s="29"/>
      <c r="F418" s="25"/>
      <c r="G418" s="25">
        <f>(D418-F418)</f>
        <v>48</v>
      </c>
      <c r="H418" s="27">
        <f t="shared" si="18"/>
        <v>45.599999999999994</v>
      </c>
      <c r="I418" s="28">
        <f t="shared" si="19"/>
        <v>2.4000000000000057</v>
      </c>
      <c r="J418" s="25">
        <f t="shared" si="20"/>
        <v>13</v>
      </c>
      <c r="K418" s="9">
        <v>2013</v>
      </c>
      <c r="L418" s="25">
        <v>2026</v>
      </c>
      <c r="M418" s="25" t="s">
        <v>16</v>
      </c>
    </row>
    <row r="419" spans="1:13" ht="15.75" x14ac:dyDescent="0.25">
      <c r="A419" s="25">
        <v>416</v>
      </c>
      <c r="B419" s="9">
        <v>17262</v>
      </c>
      <c r="C419" s="9" t="s">
        <v>781</v>
      </c>
      <c r="D419" s="9">
        <v>48</v>
      </c>
      <c r="E419" s="29"/>
      <c r="F419" s="25"/>
      <c r="G419" s="25">
        <f>(D419-F419)</f>
        <v>48</v>
      </c>
      <c r="H419" s="27">
        <f t="shared" si="18"/>
        <v>45.599999999999994</v>
      </c>
      <c r="I419" s="28">
        <f t="shared" si="19"/>
        <v>2.4000000000000057</v>
      </c>
      <c r="J419" s="25">
        <f t="shared" si="20"/>
        <v>13</v>
      </c>
      <c r="K419" s="9">
        <v>2013</v>
      </c>
      <c r="L419" s="25">
        <v>2026</v>
      </c>
      <c r="M419" s="25" t="s">
        <v>16</v>
      </c>
    </row>
    <row r="420" spans="1:13" ht="15.75" x14ac:dyDescent="0.25">
      <c r="A420" s="25">
        <v>417</v>
      </c>
      <c r="B420" s="9">
        <v>17263</v>
      </c>
      <c r="C420" s="9" t="s">
        <v>782</v>
      </c>
      <c r="D420" s="9">
        <v>60</v>
      </c>
      <c r="E420" s="29"/>
      <c r="F420" s="25"/>
      <c r="G420" s="25">
        <f>(D420-F420)</f>
        <v>60</v>
      </c>
      <c r="H420" s="27">
        <f t="shared" si="18"/>
        <v>57</v>
      </c>
      <c r="I420" s="28">
        <f t="shared" si="19"/>
        <v>3</v>
      </c>
      <c r="J420" s="25">
        <f t="shared" si="20"/>
        <v>13</v>
      </c>
      <c r="K420" s="9">
        <v>2013</v>
      </c>
      <c r="L420" s="25">
        <v>2026</v>
      </c>
      <c r="M420" s="25" t="s">
        <v>16</v>
      </c>
    </row>
    <row r="421" spans="1:13" ht="15.75" x14ac:dyDescent="0.25">
      <c r="A421" s="25">
        <v>418</v>
      </c>
      <c r="B421" s="9">
        <v>17264</v>
      </c>
      <c r="C421" s="9" t="s">
        <v>782</v>
      </c>
      <c r="D421" s="9">
        <v>60</v>
      </c>
      <c r="E421" s="29"/>
      <c r="F421" s="25"/>
      <c r="G421" s="25">
        <f>(D421-F421)</f>
        <v>60</v>
      </c>
      <c r="H421" s="27">
        <f t="shared" si="18"/>
        <v>57</v>
      </c>
      <c r="I421" s="28">
        <f t="shared" si="19"/>
        <v>3</v>
      </c>
      <c r="J421" s="25">
        <f t="shared" si="20"/>
        <v>13</v>
      </c>
      <c r="K421" s="9">
        <v>2013</v>
      </c>
      <c r="L421" s="25">
        <v>2026</v>
      </c>
      <c r="M421" s="25" t="s">
        <v>16</v>
      </c>
    </row>
    <row r="422" spans="1:13" ht="15.75" x14ac:dyDescent="0.25">
      <c r="A422" s="25">
        <v>419</v>
      </c>
      <c r="B422" s="9">
        <v>17265</v>
      </c>
      <c r="C422" s="9" t="s">
        <v>783</v>
      </c>
      <c r="D422" s="9">
        <v>60</v>
      </c>
      <c r="E422" s="29"/>
      <c r="F422" s="25"/>
      <c r="G422" s="25">
        <f>(D422-F422)</f>
        <v>60</v>
      </c>
      <c r="H422" s="27">
        <f t="shared" si="18"/>
        <v>57</v>
      </c>
      <c r="I422" s="28">
        <f t="shared" si="19"/>
        <v>3</v>
      </c>
      <c r="J422" s="25">
        <f t="shared" si="20"/>
        <v>13</v>
      </c>
      <c r="K422" s="9">
        <v>2013</v>
      </c>
      <c r="L422" s="25">
        <v>2026</v>
      </c>
      <c r="M422" s="25" t="s">
        <v>16</v>
      </c>
    </row>
    <row r="423" spans="1:13" ht="15.75" x14ac:dyDescent="0.25">
      <c r="A423" s="25">
        <v>420</v>
      </c>
      <c r="B423" s="5">
        <v>17318</v>
      </c>
      <c r="C423" s="6" t="s">
        <v>784</v>
      </c>
      <c r="D423" s="5">
        <v>150</v>
      </c>
      <c r="E423" s="29"/>
      <c r="F423" s="25"/>
      <c r="G423" s="25">
        <f>(D423-F423)</f>
        <v>150</v>
      </c>
      <c r="H423" s="27">
        <f t="shared" si="18"/>
        <v>142.5</v>
      </c>
      <c r="I423" s="28">
        <f t="shared" si="19"/>
        <v>7.5</v>
      </c>
      <c r="J423" s="25">
        <f t="shared" si="20"/>
        <v>14</v>
      </c>
      <c r="K423" s="5">
        <v>2012</v>
      </c>
      <c r="L423" s="25">
        <v>2026</v>
      </c>
      <c r="M423" s="25" t="s">
        <v>16</v>
      </c>
    </row>
    <row r="424" spans="1:13" ht="15.75" x14ac:dyDescent="0.25">
      <c r="A424" s="25">
        <v>421</v>
      </c>
      <c r="B424" s="5">
        <v>17340</v>
      </c>
      <c r="C424" s="6" t="s">
        <v>785</v>
      </c>
      <c r="D424" s="6">
        <v>47</v>
      </c>
      <c r="E424" s="29"/>
      <c r="F424" s="25"/>
      <c r="G424" s="25">
        <f>(D424-F424)</f>
        <v>47</v>
      </c>
      <c r="H424" s="27">
        <f t="shared" si="18"/>
        <v>44.65</v>
      </c>
      <c r="I424" s="28">
        <f t="shared" si="19"/>
        <v>2.3500000000000014</v>
      </c>
      <c r="J424" s="25">
        <f t="shared" si="20"/>
        <v>13</v>
      </c>
      <c r="K424" s="6">
        <v>2013</v>
      </c>
      <c r="L424" s="25">
        <v>2026</v>
      </c>
      <c r="M424" s="25" t="s">
        <v>16</v>
      </c>
    </row>
    <row r="425" spans="1:13" ht="15.75" x14ac:dyDescent="0.25">
      <c r="A425" s="25">
        <v>422</v>
      </c>
      <c r="B425" s="5">
        <v>17345</v>
      </c>
      <c r="C425" s="6" t="s">
        <v>786</v>
      </c>
      <c r="D425" s="6">
        <v>47</v>
      </c>
      <c r="E425" s="29"/>
      <c r="F425" s="25"/>
      <c r="G425" s="25">
        <f>(D425-F425)</f>
        <v>47</v>
      </c>
      <c r="H425" s="27">
        <f t="shared" si="18"/>
        <v>44.65</v>
      </c>
      <c r="I425" s="28">
        <f t="shared" si="19"/>
        <v>2.3500000000000014</v>
      </c>
      <c r="J425" s="25">
        <f t="shared" si="20"/>
        <v>13</v>
      </c>
      <c r="K425" s="6">
        <v>2013</v>
      </c>
      <c r="L425" s="25">
        <v>2026</v>
      </c>
      <c r="M425" s="25" t="s">
        <v>16</v>
      </c>
    </row>
    <row r="426" spans="1:13" ht="15.75" x14ac:dyDescent="0.25">
      <c r="A426" s="25">
        <v>423</v>
      </c>
      <c r="B426" s="9">
        <v>17346</v>
      </c>
      <c r="C426" s="9" t="s">
        <v>787</v>
      </c>
      <c r="D426" s="9">
        <v>47.5</v>
      </c>
      <c r="E426" s="29"/>
      <c r="F426" s="25"/>
      <c r="G426" s="25">
        <f>(D426-F426)</f>
        <v>47.5</v>
      </c>
      <c r="H426" s="27">
        <f t="shared" si="18"/>
        <v>45.125</v>
      </c>
      <c r="I426" s="28">
        <f t="shared" si="19"/>
        <v>2.375</v>
      </c>
      <c r="J426" s="25">
        <f t="shared" si="20"/>
        <v>13</v>
      </c>
      <c r="K426" s="9">
        <v>2013</v>
      </c>
      <c r="L426" s="25">
        <v>2026</v>
      </c>
      <c r="M426" s="25" t="s">
        <v>16</v>
      </c>
    </row>
    <row r="427" spans="1:13" ht="15.75" x14ac:dyDescent="0.25">
      <c r="A427" s="25">
        <v>424</v>
      </c>
      <c r="B427" s="9">
        <v>17359</v>
      </c>
      <c r="C427" s="9" t="s">
        <v>788</v>
      </c>
      <c r="D427" s="9">
        <v>50</v>
      </c>
      <c r="E427" s="29"/>
      <c r="F427" s="25"/>
      <c r="G427" s="25">
        <f>(D427-F427)</f>
        <v>50</v>
      </c>
      <c r="H427" s="27">
        <f t="shared" si="18"/>
        <v>47.5</v>
      </c>
      <c r="I427" s="28">
        <f t="shared" si="19"/>
        <v>2.5</v>
      </c>
      <c r="J427" s="25">
        <f t="shared" si="20"/>
        <v>13</v>
      </c>
      <c r="K427" s="9">
        <v>2013</v>
      </c>
      <c r="L427" s="25">
        <v>2026</v>
      </c>
      <c r="M427" s="25" t="s">
        <v>16</v>
      </c>
    </row>
    <row r="428" spans="1:13" ht="15.75" x14ac:dyDescent="0.25">
      <c r="A428" s="25">
        <v>425</v>
      </c>
      <c r="B428" s="5">
        <v>17364</v>
      </c>
      <c r="C428" s="6" t="s">
        <v>789</v>
      </c>
      <c r="D428" s="5">
        <v>100</v>
      </c>
      <c r="E428" s="29"/>
      <c r="F428" s="25"/>
      <c r="G428" s="25">
        <f>(D428-F428)</f>
        <v>100</v>
      </c>
      <c r="H428" s="27">
        <f t="shared" si="18"/>
        <v>95</v>
      </c>
      <c r="I428" s="28">
        <f t="shared" si="19"/>
        <v>5</v>
      </c>
      <c r="J428" s="25">
        <f t="shared" si="20"/>
        <v>13</v>
      </c>
      <c r="K428" s="5">
        <v>2013</v>
      </c>
      <c r="L428" s="25">
        <v>2026</v>
      </c>
      <c r="M428" s="25" t="s">
        <v>16</v>
      </c>
    </row>
    <row r="429" spans="1:13" ht="15.75" x14ac:dyDescent="0.25">
      <c r="A429" s="25">
        <v>426</v>
      </c>
      <c r="B429" s="5">
        <v>17365</v>
      </c>
      <c r="C429" s="6" t="s">
        <v>790</v>
      </c>
      <c r="D429" s="5">
        <v>30</v>
      </c>
      <c r="E429" s="29"/>
      <c r="F429" s="25"/>
      <c r="G429" s="25">
        <f>(D429-F429)</f>
        <v>30</v>
      </c>
      <c r="H429" s="27">
        <f t="shared" si="18"/>
        <v>28.5</v>
      </c>
      <c r="I429" s="28">
        <f t="shared" si="19"/>
        <v>1.5</v>
      </c>
      <c r="J429" s="25">
        <f t="shared" si="20"/>
        <v>33</v>
      </c>
      <c r="K429" s="5">
        <v>1993</v>
      </c>
      <c r="L429" s="25">
        <v>2026</v>
      </c>
      <c r="M429" s="25" t="s">
        <v>16</v>
      </c>
    </row>
    <row r="430" spans="1:13" ht="15.75" x14ac:dyDescent="0.25">
      <c r="A430" s="25">
        <v>427</v>
      </c>
      <c r="B430" s="5">
        <v>17516</v>
      </c>
      <c r="C430" s="6" t="s">
        <v>791</v>
      </c>
      <c r="D430" s="6">
        <v>295</v>
      </c>
      <c r="E430" s="29"/>
      <c r="F430" s="25"/>
      <c r="G430" s="25">
        <f>(D430-F430)</f>
        <v>295</v>
      </c>
      <c r="H430" s="27">
        <f t="shared" si="18"/>
        <v>280.25</v>
      </c>
      <c r="I430" s="28">
        <f t="shared" si="19"/>
        <v>14.75</v>
      </c>
      <c r="J430" s="25">
        <f t="shared" si="20"/>
        <v>11</v>
      </c>
      <c r="K430" s="6">
        <v>2015</v>
      </c>
      <c r="L430" s="25">
        <v>2026</v>
      </c>
      <c r="M430" s="25" t="s">
        <v>16</v>
      </c>
    </row>
    <row r="431" spans="1:13" ht="15.75" x14ac:dyDescent="0.25">
      <c r="A431" s="25">
        <v>428</v>
      </c>
      <c r="B431" s="5">
        <v>17562</v>
      </c>
      <c r="C431" s="6" t="s">
        <v>792</v>
      </c>
      <c r="D431" s="6">
        <v>170</v>
      </c>
      <c r="E431" s="29"/>
      <c r="F431" s="25"/>
      <c r="G431" s="25">
        <f>(D431-F431)</f>
        <v>170</v>
      </c>
      <c r="H431" s="27">
        <f t="shared" si="18"/>
        <v>161.5</v>
      </c>
      <c r="I431" s="28">
        <f t="shared" si="19"/>
        <v>8.5</v>
      </c>
      <c r="J431" s="25">
        <f t="shared" si="20"/>
        <v>11</v>
      </c>
      <c r="K431" s="6">
        <v>2015</v>
      </c>
      <c r="L431" s="25">
        <v>2026</v>
      </c>
      <c r="M431" s="25" t="s">
        <v>16</v>
      </c>
    </row>
    <row r="432" spans="1:13" ht="15.75" x14ac:dyDescent="0.25">
      <c r="A432" s="25">
        <v>429</v>
      </c>
      <c r="B432" s="5">
        <v>17571</v>
      </c>
      <c r="C432" s="6" t="s">
        <v>793</v>
      </c>
      <c r="D432" s="6">
        <v>225</v>
      </c>
      <c r="E432" s="29"/>
      <c r="F432" s="25"/>
      <c r="G432" s="25">
        <f>(D432-F432)</f>
        <v>225</v>
      </c>
      <c r="H432" s="27">
        <f t="shared" si="18"/>
        <v>213.75</v>
      </c>
      <c r="I432" s="28">
        <f t="shared" si="19"/>
        <v>11.25</v>
      </c>
      <c r="J432" s="25">
        <f t="shared" si="20"/>
        <v>11</v>
      </c>
      <c r="K432" s="6">
        <v>2015</v>
      </c>
      <c r="L432" s="25">
        <v>2026</v>
      </c>
      <c r="M432" s="25" t="s">
        <v>16</v>
      </c>
    </row>
    <row r="433" spans="1:13" ht="15.75" x14ac:dyDescent="0.25">
      <c r="A433" s="25">
        <v>430</v>
      </c>
      <c r="B433" s="5">
        <v>18874</v>
      </c>
      <c r="C433" s="6" t="s">
        <v>794</v>
      </c>
      <c r="D433" s="5">
        <v>10</v>
      </c>
      <c r="E433" s="29"/>
      <c r="F433" s="25"/>
      <c r="G433" s="25">
        <f>(D433-F433)</f>
        <v>10</v>
      </c>
      <c r="H433" s="27">
        <f t="shared" si="18"/>
        <v>9.5</v>
      </c>
      <c r="I433" s="28">
        <f t="shared" si="19"/>
        <v>0.5</v>
      </c>
      <c r="J433" s="25">
        <f t="shared" si="20"/>
        <v>15</v>
      </c>
      <c r="K433" s="5">
        <v>2011</v>
      </c>
      <c r="L433" s="25">
        <v>2026</v>
      </c>
      <c r="M433" s="25" t="s">
        <v>16</v>
      </c>
    </row>
    <row r="434" spans="1:13" x14ac:dyDescent="0.25">
      <c r="A434" s="32"/>
      <c r="B434" s="32"/>
      <c r="C434" s="32"/>
      <c r="D434" s="31">
        <f>SUM(D112:D433)</f>
        <v>26737.5</v>
      </c>
      <c r="E434" s="32"/>
      <c r="F434" s="32"/>
      <c r="G434" s="31">
        <f>SUM(G112:G433)</f>
        <v>26737.5</v>
      </c>
      <c r="H434" s="31">
        <f>SUM(H112:H433)</f>
        <v>25400.625000000015</v>
      </c>
      <c r="I434" s="25"/>
      <c r="J434" s="25"/>
      <c r="K434" s="32"/>
      <c r="L434" s="32"/>
      <c r="M434" s="32"/>
    </row>
    <row r="435" spans="1:13" x14ac:dyDescent="0.25">
      <c r="A435" s="33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5"/>
    </row>
    <row r="436" spans="1:13" x14ac:dyDescent="0.25">
      <c r="A436" s="36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8"/>
    </row>
    <row r="437" spans="1:13" x14ac:dyDescent="0.25">
      <c r="A437" s="39" t="s">
        <v>452</v>
      </c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1"/>
    </row>
    <row r="438" spans="1:13" x14ac:dyDescent="0.25">
      <c r="A438" s="39" t="s">
        <v>453</v>
      </c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1"/>
    </row>
    <row r="439" spans="1:13" x14ac:dyDescent="0.25">
      <c r="A439" s="42" t="s">
        <v>454</v>
      </c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1"/>
    </row>
    <row r="440" spans="1:13" x14ac:dyDescent="0.25">
      <c r="A440" s="39" t="s">
        <v>455</v>
      </c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1"/>
    </row>
    <row r="441" spans="1:13" x14ac:dyDescent="0.25">
      <c r="A441" s="39" t="s">
        <v>456</v>
      </c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1"/>
    </row>
    <row r="442" spans="1:13" x14ac:dyDescent="0.25">
      <c r="A442" s="43"/>
      <c r="B442" s="44"/>
      <c r="C442" s="45"/>
      <c r="D442" s="25"/>
      <c r="E442" s="25"/>
      <c r="F442" s="25">
        <f t="shared" ref="F442:F463" si="21">(D442*E442)</f>
        <v>0</v>
      </c>
      <c r="G442" s="33"/>
      <c r="H442" s="34"/>
      <c r="I442" s="34"/>
      <c r="J442" s="34"/>
      <c r="K442" s="34"/>
      <c r="L442" s="34"/>
      <c r="M442" s="35"/>
    </row>
    <row r="443" spans="1:13" x14ac:dyDescent="0.25">
      <c r="A443" s="46"/>
      <c r="B443" s="47"/>
      <c r="C443" s="48"/>
      <c r="D443" s="25"/>
      <c r="E443" s="25"/>
      <c r="F443" s="25">
        <f t="shared" si="21"/>
        <v>0</v>
      </c>
      <c r="G443" s="49"/>
      <c r="H443" s="50"/>
      <c r="I443" s="50"/>
      <c r="J443" s="50"/>
      <c r="K443" s="50"/>
      <c r="L443" s="50"/>
      <c r="M443" s="51"/>
    </row>
    <row r="444" spans="1:13" x14ac:dyDescent="0.25">
      <c r="A444" s="52"/>
      <c r="B444" s="53"/>
      <c r="C444" s="54"/>
      <c r="D444" s="25"/>
      <c r="E444" s="25"/>
      <c r="F444" s="25">
        <f t="shared" si="21"/>
        <v>0</v>
      </c>
      <c r="G444" s="36"/>
      <c r="H444" s="37"/>
      <c r="I444" s="37"/>
      <c r="J444" s="37"/>
      <c r="K444" s="37"/>
      <c r="L444" s="37"/>
      <c r="M444" s="38"/>
    </row>
    <row r="445" spans="1:13" x14ac:dyDescent="0.25">
      <c r="A445" s="55" t="s">
        <v>457</v>
      </c>
      <c r="B445" s="56"/>
      <c r="C445" s="57"/>
      <c r="D445" s="25"/>
      <c r="E445" s="25"/>
      <c r="F445" s="25">
        <f t="shared" si="21"/>
        <v>0</v>
      </c>
      <c r="G445" s="58" t="s">
        <v>458</v>
      </c>
      <c r="H445" s="59"/>
      <c r="I445" s="59"/>
      <c r="J445" s="59"/>
      <c r="K445" s="59"/>
      <c r="L445" s="59"/>
      <c r="M445" s="60"/>
    </row>
    <row r="446" spans="1:13" x14ac:dyDescent="0.25">
      <c r="A446" s="43"/>
      <c r="B446" s="44"/>
      <c r="C446" s="45"/>
      <c r="D446" s="25"/>
      <c r="E446" s="25"/>
      <c r="F446" s="25">
        <f t="shared" si="21"/>
        <v>0</v>
      </c>
      <c r="G446" s="61"/>
      <c r="H446" s="62"/>
      <c r="I446" s="62"/>
      <c r="J446" s="62"/>
      <c r="K446" s="62"/>
      <c r="L446" s="62"/>
      <c r="M446" s="63"/>
    </row>
    <row r="447" spans="1:13" x14ac:dyDescent="0.25">
      <c r="A447" s="46"/>
      <c r="B447" s="47"/>
      <c r="C447" s="48"/>
      <c r="D447" s="25"/>
      <c r="E447" s="25"/>
      <c r="F447" s="25">
        <f t="shared" si="21"/>
        <v>0</v>
      </c>
      <c r="G447" s="58">
        <v>1</v>
      </c>
      <c r="H447" s="60"/>
      <c r="I447" s="64" t="s">
        <v>459</v>
      </c>
      <c r="J447" s="65"/>
      <c r="K447" s="65"/>
      <c r="L447" s="65"/>
      <c r="M447" s="66"/>
    </row>
    <row r="448" spans="1:13" x14ac:dyDescent="0.25">
      <c r="A448" s="52"/>
      <c r="B448" s="53"/>
      <c r="C448" s="54"/>
      <c r="D448" s="25"/>
      <c r="E448" s="25"/>
      <c r="F448" s="25">
        <f t="shared" si="21"/>
        <v>0</v>
      </c>
      <c r="G448" s="61"/>
      <c r="H448" s="63"/>
      <c r="I448" s="67"/>
      <c r="J448" s="68"/>
      <c r="K448" s="68"/>
      <c r="L448" s="68"/>
      <c r="M448" s="69"/>
    </row>
    <row r="449" spans="1:13" x14ac:dyDescent="0.25">
      <c r="A449" s="55" t="s">
        <v>460</v>
      </c>
      <c r="B449" s="56"/>
      <c r="C449" s="57"/>
      <c r="D449" s="25"/>
      <c r="E449" s="25"/>
      <c r="F449" s="25">
        <f t="shared" si="21"/>
        <v>0</v>
      </c>
      <c r="G449" s="70">
        <v>2</v>
      </c>
      <c r="H449" s="71"/>
      <c r="I449" s="64" t="s">
        <v>459</v>
      </c>
      <c r="J449" s="65"/>
      <c r="K449" s="65"/>
      <c r="L449" s="65"/>
      <c r="M449" s="66"/>
    </row>
    <row r="450" spans="1:13" x14ac:dyDescent="0.25">
      <c r="A450" s="72"/>
      <c r="B450" s="43"/>
      <c r="C450" s="45"/>
      <c r="D450" s="72"/>
      <c r="E450" s="72"/>
      <c r="F450" s="72">
        <f t="shared" si="21"/>
        <v>0</v>
      </c>
      <c r="G450" s="73"/>
      <c r="H450" s="74"/>
      <c r="I450" s="67"/>
      <c r="J450" s="68"/>
      <c r="K450" s="68"/>
      <c r="L450" s="68"/>
      <c r="M450" s="69"/>
    </row>
    <row r="451" spans="1:13" x14ac:dyDescent="0.25">
      <c r="A451" s="72"/>
      <c r="B451" s="46"/>
      <c r="C451" s="48"/>
      <c r="D451" s="72"/>
      <c r="E451" s="72"/>
      <c r="F451" s="72">
        <f t="shared" si="21"/>
        <v>0</v>
      </c>
      <c r="G451" s="70">
        <v>3</v>
      </c>
      <c r="H451" s="71"/>
      <c r="I451" s="75" t="s">
        <v>459</v>
      </c>
      <c r="J451" s="76"/>
      <c r="K451" s="76"/>
      <c r="L451" s="76"/>
      <c r="M451" s="77"/>
    </row>
    <row r="452" spans="1:13" x14ac:dyDescent="0.25">
      <c r="A452" s="72">
        <v>1</v>
      </c>
      <c r="B452" s="52"/>
      <c r="C452" s="54"/>
      <c r="D452" s="72"/>
      <c r="E452" s="72"/>
      <c r="F452" s="72">
        <f t="shared" si="21"/>
        <v>0</v>
      </c>
      <c r="G452" s="73"/>
      <c r="H452" s="74"/>
      <c r="I452" s="78"/>
      <c r="J452" s="79"/>
      <c r="K452" s="79"/>
      <c r="L452" s="79"/>
      <c r="M452" s="80"/>
    </row>
    <row r="453" spans="1:13" x14ac:dyDescent="0.25">
      <c r="A453" s="72"/>
      <c r="B453" s="43"/>
      <c r="C453" s="45"/>
      <c r="D453" s="72"/>
      <c r="E453" s="72"/>
      <c r="F453" s="72">
        <f t="shared" si="21"/>
        <v>0</v>
      </c>
      <c r="G453" s="70">
        <v>4</v>
      </c>
      <c r="H453" s="71"/>
      <c r="I453" s="75" t="s">
        <v>459</v>
      </c>
      <c r="J453" s="76"/>
      <c r="K453" s="76"/>
      <c r="L453" s="76"/>
      <c r="M453" s="77"/>
    </row>
    <row r="454" spans="1:13" x14ac:dyDescent="0.25">
      <c r="A454" s="72"/>
      <c r="B454" s="46"/>
      <c r="C454" s="48"/>
      <c r="D454" s="72"/>
      <c r="E454" s="72"/>
      <c r="F454" s="72">
        <f t="shared" si="21"/>
        <v>0</v>
      </c>
      <c r="G454" s="73"/>
      <c r="H454" s="74"/>
      <c r="I454" s="78"/>
      <c r="J454" s="79"/>
      <c r="K454" s="79"/>
      <c r="L454" s="79"/>
      <c r="M454" s="80"/>
    </row>
    <row r="455" spans="1:13" x14ac:dyDescent="0.25">
      <c r="A455" s="72">
        <v>2</v>
      </c>
      <c r="B455" s="52"/>
      <c r="C455" s="54"/>
      <c r="D455" s="72"/>
      <c r="E455" s="72"/>
      <c r="F455" s="72">
        <f t="shared" si="21"/>
        <v>0</v>
      </c>
      <c r="G455" s="43" t="s">
        <v>461</v>
      </c>
      <c r="H455" s="44"/>
      <c r="I455" s="44"/>
      <c r="J455" s="44"/>
      <c r="K455" s="44"/>
      <c r="L455" s="44"/>
      <c r="M455" s="45"/>
    </row>
    <row r="456" spans="1:13" x14ac:dyDescent="0.25">
      <c r="A456" s="72"/>
      <c r="B456" s="43"/>
      <c r="C456" s="45"/>
      <c r="D456" s="72"/>
      <c r="E456" s="72"/>
      <c r="F456" s="72">
        <f t="shared" si="21"/>
        <v>0</v>
      </c>
      <c r="G456" s="46"/>
      <c r="H456" s="47"/>
      <c r="I456" s="47"/>
      <c r="J456" s="47"/>
      <c r="K456" s="47"/>
      <c r="L456" s="47"/>
      <c r="M456" s="48"/>
    </row>
    <row r="457" spans="1:13" x14ac:dyDescent="0.25">
      <c r="A457" s="72"/>
      <c r="B457" s="46"/>
      <c r="C457" s="48"/>
      <c r="D457" s="72"/>
      <c r="E457" s="72"/>
      <c r="F457" s="72">
        <f t="shared" si="21"/>
        <v>0</v>
      </c>
      <c r="G457" s="46"/>
      <c r="H457" s="47"/>
      <c r="I457" s="47"/>
      <c r="J457" s="47"/>
      <c r="K457" s="47"/>
      <c r="L457" s="47"/>
      <c r="M457" s="48"/>
    </row>
    <row r="458" spans="1:13" x14ac:dyDescent="0.25">
      <c r="A458" s="72">
        <v>3</v>
      </c>
      <c r="B458" s="52"/>
      <c r="C458" s="54"/>
      <c r="D458" s="72"/>
      <c r="E458" s="72"/>
      <c r="F458" s="72">
        <f t="shared" si="21"/>
        <v>0</v>
      </c>
      <c r="G458" s="46"/>
      <c r="H458" s="47"/>
      <c r="I458" s="47"/>
      <c r="J458" s="47"/>
      <c r="K458" s="47"/>
      <c r="L458" s="47"/>
      <c r="M458" s="48"/>
    </row>
    <row r="459" spans="1:13" x14ac:dyDescent="0.25">
      <c r="A459" s="43" t="s">
        <v>462</v>
      </c>
      <c r="B459" s="44"/>
      <c r="C459" s="45"/>
      <c r="D459" s="72"/>
      <c r="E459" s="72"/>
      <c r="F459" s="72">
        <f t="shared" si="21"/>
        <v>0</v>
      </c>
      <c r="G459" s="46"/>
      <c r="H459" s="47"/>
      <c r="I459" s="47"/>
      <c r="J459" s="47"/>
      <c r="K459" s="47"/>
      <c r="L459" s="47"/>
      <c r="M459" s="48"/>
    </row>
    <row r="460" spans="1:13" x14ac:dyDescent="0.25">
      <c r="A460" s="46"/>
      <c r="B460" s="47"/>
      <c r="C460" s="48"/>
      <c r="D460" s="72"/>
      <c r="E460" s="72"/>
      <c r="F460" s="72">
        <f t="shared" si="21"/>
        <v>0</v>
      </c>
      <c r="G460" s="46"/>
      <c r="H460" s="47"/>
      <c r="I460" s="47"/>
      <c r="J460" s="47"/>
      <c r="K460" s="47"/>
      <c r="L460" s="47"/>
      <c r="M460" s="48"/>
    </row>
    <row r="461" spans="1:13" x14ac:dyDescent="0.25">
      <c r="A461" s="46"/>
      <c r="B461" s="47"/>
      <c r="C461" s="48"/>
      <c r="D461" s="72"/>
      <c r="E461" s="72"/>
      <c r="F461" s="72">
        <f t="shared" si="21"/>
        <v>0</v>
      </c>
      <c r="G461" s="46"/>
      <c r="H461" s="47"/>
      <c r="I461" s="47"/>
      <c r="J461" s="47"/>
      <c r="K461" s="47"/>
      <c r="L461" s="47"/>
      <c r="M461" s="48"/>
    </row>
    <row r="462" spans="1:13" x14ac:dyDescent="0.25">
      <c r="A462" s="46"/>
      <c r="B462" s="47"/>
      <c r="C462" s="48"/>
      <c r="D462" s="72"/>
      <c r="E462" s="72"/>
      <c r="F462" s="72">
        <f t="shared" si="21"/>
        <v>0</v>
      </c>
      <c r="G462" s="46"/>
      <c r="H462" s="47"/>
      <c r="I462" s="47"/>
      <c r="J462" s="47"/>
      <c r="K462" s="47"/>
      <c r="L462" s="47"/>
      <c r="M462" s="48"/>
    </row>
    <row r="463" spans="1:13" x14ac:dyDescent="0.25">
      <c r="A463" s="52"/>
      <c r="B463" s="53"/>
      <c r="C463" s="54"/>
      <c r="D463" s="72"/>
      <c r="E463" s="72"/>
      <c r="F463" s="72">
        <f t="shared" si="21"/>
        <v>0</v>
      </c>
      <c r="G463" s="52"/>
      <c r="H463" s="53"/>
      <c r="I463" s="53"/>
      <c r="J463" s="53"/>
      <c r="K463" s="53"/>
      <c r="L463" s="53"/>
      <c r="M463" s="54"/>
    </row>
  </sheetData>
  <mergeCells count="27">
    <mergeCell ref="B456:C458"/>
    <mergeCell ref="A459:C463"/>
    <mergeCell ref="A449:C449"/>
    <mergeCell ref="G449:H450"/>
    <mergeCell ref="I449:M450"/>
    <mergeCell ref="B450:C452"/>
    <mergeCell ref="G451:H452"/>
    <mergeCell ref="I451:M452"/>
    <mergeCell ref="G442:M444"/>
    <mergeCell ref="A445:C445"/>
    <mergeCell ref="G445:M446"/>
    <mergeCell ref="A446:C448"/>
    <mergeCell ref="G447:H448"/>
    <mergeCell ref="I447:M448"/>
    <mergeCell ref="B453:C455"/>
    <mergeCell ref="G453:H454"/>
    <mergeCell ref="I453:M454"/>
    <mergeCell ref="G455:M463"/>
    <mergeCell ref="A441:M441"/>
    <mergeCell ref="A442:C444"/>
    <mergeCell ref="A1:M1"/>
    <mergeCell ref="A2:M2"/>
    <mergeCell ref="A438:M438"/>
    <mergeCell ref="A439:M439"/>
    <mergeCell ref="A440:M440"/>
    <mergeCell ref="A435:M436"/>
    <mergeCell ref="A437:M437"/>
  </mergeCells>
  <conditionalFormatting sqref="B4:D334 K4:K334">
    <cfRule type="expression" dxfId="0" priority="3">
      <formula>COUNTIF(B:B,#REF!)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SFF</vt:lpstr>
      <vt:lpstr>VVN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 Vettrivel GV</dc:creator>
  <cp:lastModifiedBy>Tanish Vettrivel GV</cp:lastModifiedBy>
  <dcterms:created xsi:type="dcterms:W3CDTF">2026-08-03T15:04:15Z</dcterms:created>
  <dcterms:modified xsi:type="dcterms:W3CDTF">2026-08-03T15:11:39Z</dcterms:modified>
</cp:coreProperties>
</file>